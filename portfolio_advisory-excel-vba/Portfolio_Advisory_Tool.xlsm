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02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ceciliatorres/Desktop/rothschild_excel_vba_dataset/"/>
    </mc:Choice>
  </mc:AlternateContent>
  <xr:revisionPtr revIDLastSave="0" documentId="13_ncr:1_{D6ED7A1F-BFA8-0248-A7B6-79A8FD59F0AD}" xr6:coauthVersionLast="47" xr6:coauthVersionMax="47" xr10:uidLastSave="{00000000-0000-0000-0000-000000000000}"/>
  <bookViews>
    <workbookView xWindow="900" yWindow="0" windowWidth="26420" windowHeight="16080" activeTab="7" xr2:uid="{349C52C2-1A1A-F045-87F6-9AA10407DDF3}"/>
  </bookViews>
  <sheets>
    <sheet name="Clients" sheetId="1" r:id="rId1"/>
    <sheet name="Returns" sheetId="2" r:id="rId2"/>
    <sheet name="Market_Data" sheetId="3" r:id="rId3"/>
    <sheet name="Universe" sheetId="4" r:id="rId4"/>
    <sheet name="Holdings" sheetId="5" r:id="rId5"/>
    <sheet name="FX" sheetId="6" r:id="rId6"/>
    <sheet name="Benchmarks" sheetId="7" r:id="rId7"/>
    <sheet name="Portfolio_Summary" sheetId="8" r:id="rId8"/>
    <sheet name="Market_Commentary" sheetId="9" r:id="rId9"/>
  </sheets>
  <definedNames>
    <definedName name="_xleta.EXP" hidden="1" xlm="1">#NAME?</definedName>
    <definedName name="ClientsIDs">tblClients[client_id]</definedName>
    <definedName name="_xlnm.Print_Area" localSheetId="8">Market_Commentary!$A$1:$A$4</definedName>
    <definedName name="_xlnm.Print_Area" localSheetId="7">Portfolio_Summary!$B$1:$H$28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8" l="1"/>
  <c r="F2" i="8"/>
  <c r="E2" i="8"/>
  <c r="D2" i="8"/>
  <c r="H2" i="5"/>
  <c r="I2" i="5" s="1"/>
  <c r="H3" i="5"/>
  <c r="I3" i="5" s="1"/>
  <c r="H4" i="5"/>
  <c r="I4" i="5" s="1"/>
  <c r="H5" i="5"/>
  <c r="I5" i="5" s="1"/>
  <c r="H6" i="5"/>
  <c r="I6" i="5" s="1"/>
  <c r="H7" i="5"/>
  <c r="I7" i="5" s="1"/>
  <c r="H8" i="5"/>
  <c r="I8" i="5" s="1"/>
  <c r="H9" i="5"/>
  <c r="I9" i="5" s="1"/>
  <c r="H10" i="5"/>
  <c r="I10" i="5" s="1"/>
  <c r="H11" i="5"/>
  <c r="I11" i="5" s="1"/>
  <c r="H12" i="5"/>
  <c r="I12" i="5" s="1"/>
  <c r="H13" i="5"/>
  <c r="I13" i="5" s="1"/>
  <c r="H14" i="5"/>
  <c r="I14" i="5" s="1"/>
  <c r="H15" i="5"/>
  <c r="I15" i="5" s="1"/>
  <c r="H16" i="5"/>
  <c r="I16" i="5" s="1"/>
  <c r="H17" i="5"/>
  <c r="I17" i="5" s="1"/>
  <c r="H18" i="5"/>
  <c r="I18" i="5" s="1"/>
  <c r="H19" i="5"/>
  <c r="I19" i="5" s="1"/>
  <c r="H20" i="5"/>
  <c r="I20" i="5" s="1"/>
  <c r="H21" i="5"/>
  <c r="I21" i="5" s="1"/>
  <c r="H22" i="5"/>
  <c r="I22" i="5" s="1"/>
  <c r="H23" i="5"/>
  <c r="I23" i="5" s="1"/>
  <c r="H24" i="5"/>
  <c r="I24" i="5" s="1"/>
  <c r="H25" i="5"/>
  <c r="I25" i="5" s="1"/>
  <c r="H26" i="5"/>
  <c r="I26" i="5" s="1"/>
  <c r="H27" i="5"/>
  <c r="I27" i="5" s="1"/>
  <c r="H28" i="5"/>
  <c r="I28" i="5" s="1"/>
  <c r="H29" i="5"/>
  <c r="I29" i="5" s="1"/>
  <c r="H30" i="5"/>
  <c r="I30" i="5" s="1"/>
  <c r="H31" i="5"/>
  <c r="I31" i="5" s="1"/>
  <c r="H32" i="5"/>
  <c r="I32" i="5" s="1"/>
  <c r="H33" i="5"/>
  <c r="I33" i="5" s="1"/>
  <c r="H34" i="5"/>
  <c r="I34" i="5" s="1"/>
  <c r="H35" i="5"/>
  <c r="I35" i="5" s="1"/>
  <c r="H36" i="5"/>
  <c r="I36" i="5" s="1"/>
  <c r="H37" i="5"/>
  <c r="I37" i="5" s="1"/>
  <c r="H38" i="5"/>
  <c r="I38" i="5" s="1"/>
  <c r="H39" i="5"/>
  <c r="I39" i="5" s="1"/>
  <c r="G2" i="8" l="1"/>
  <c r="D11" i="8" l="1" a="1"/>
  <c r="D11" i="8" s="1"/>
  <c r="B22" i="8"/>
  <c r="D9" i="8" a="1"/>
  <c r="D9" i="8" s="1"/>
  <c r="D8" i="8" a="1"/>
  <c r="D8" i="8" s="1"/>
  <c r="D10" i="8" a="1"/>
  <c r="D10" i="8" s="1"/>
  <c r="B20" i="8" l="1"/>
  <c r="C20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<sst xmlns="http://schemas.openxmlformats.org/spreadsheetml/2006/main" count="370" uniqueCount="136">
  <si>
    <t>client_id</t>
  </si>
  <si>
    <t>client_name</t>
  </si>
  <si>
    <t>segment</t>
  </si>
  <si>
    <t>base_ccy</t>
  </si>
  <si>
    <t>risk_profile</t>
  </si>
  <si>
    <t>mandate</t>
  </si>
  <si>
    <t>start_date</t>
  </si>
  <si>
    <t>CH-0001</t>
  </si>
  <si>
    <t>C. Martin</t>
  </si>
  <si>
    <t>HNW</t>
  </si>
  <si>
    <t>CHF</t>
  </si>
  <si>
    <t>Balanced</t>
  </si>
  <si>
    <t>Advisory</t>
  </si>
  <si>
    <t>CH-0002</t>
  </si>
  <si>
    <t>A. Dubois</t>
  </si>
  <si>
    <t>UHNW</t>
  </si>
  <si>
    <t>Moderate</t>
  </si>
  <si>
    <t>CH-0003</t>
  </si>
  <si>
    <t>S. Rossi</t>
  </si>
  <si>
    <t>EUR</t>
  </si>
  <si>
    <t>Growth</t>
  </si>
  <si>
    <t>CH-0004</t>
  </si>
  <si>
    <t>J. Keller</t>
  </si>
  <si>
    <t>Mass Affluent</t>
  </si>
  <si>
    <t>Conservative</t>
  </si>
  <si>
    <t>Discretionary</t>
  </si>
  <si>
    <t>as_of</t>
  </si>
  <si>
    <t>security_id</t>
  </si>
  <si>
    <t>return_1m</t>
  </si>
  <si>
    <t>return_ytd</t>
  </si>
  <si>
    <t>CHSPI</t>
  </si>
  <si>
    <t>VWRL</t>
  </si>
  <si>
    <t>EIMI</t>
  </si>
  <si>
    <t>NESN</t>
  </si>
  <si>
    <t>ROG</t>
  </si>
  <si>
    <t>AAPL</t>
  </si>
  <si>
    <t>MSFT</t>
  </si>
  <si>
    <t>CHGOV5</t>
  </si>
  <si>
    <t>EUGOV7</t>
  </si>
  <si>
    <t>IGCORP</t>
  </si>
  <si>
    <t>HYBOND</t>
  </si>
  <si>
    <t>GOLD</t>
  </si>
  <si>
    <t>REITG</t>
  </si>
  <si>
    <t>HFUND</t>
  </si>
  <si>
    <t>CASHCHF</t>
  </si>
  <si>
    <t>CASHEUR</t>
  </si>
  <si>
    <t>CASHUSD</t>
  </si>
  <si>
    <t>metric</t>
  </si>
  <si>
    <t>value</t>
  </si>
  <si>
    <t>S&amp;P 500 1M</t>
  </si>
  <si>
    <t>MSCI EM 1M</t>
  </si>
  <si>
    <t>Swiss SPI 1M</t>
  </si>
  <si>
    <t>US 10Y yield change (bp) 1M</t>
  </si>
  <si>
    <t>EUR/CHF 1M</t>
  </si>
  <si>
    <t>Gold 1M</t>
  </si>
  <si>
    <t>name</t>
  </si>
  <si>
    <t>asset_class</t>
  </si>
  <si>
    <t>sub_class</t>
  </si>
  <si>
    <t>instrument_type</t>
  </si>
  <si>
    <t>currency</t>
  </si>
  <si>
    <t>region</t>
  </si>
  <si>
    <t>esg_score</t>
  </si>
  <si>
    <t>status</t>
  </si>
  <si>
    <t>iShares Core SPI ETF</t>
  </si>
  <si>
    <t>Equity</t>
  </si>
  <si>
    <t>Switzerland</t>
  </si>
  <si>
    <t>ETF</t>
  </si>
  <si>
    <t>CH</t>
  </si>
  <si>
    <t>Approved</t>
  </si>
  <si>
    <t>Vanguard FTSE All-World UCITS ETF</t>
  </si>
  <si>
    <t>Global</t>
  </si>
  <si>
    <t>USD</t>
  </si>
  <si>
    <t>iShares Core MSCI EM IMI UCITS ETF</t>
  </si>
  <si>
    <t>Emerging Markets</t>
  </si>
  <si>
    <t>EM</t>
  </si>
  <si>
    <t>Nestl√© SA</t>
  </si>
  <si>
    <t>Roche Holding AG</t>
  </si>
  <si>
    <t>Apple Inc.</t>
  </si>
  <si>
    <t>US Large Cap</t>
  </si>
  <si>
    <t>US</t>
  </si>
  <si>
    <t>Microsoft Corp.</t>
  </si>
  <si>
    <t>Swiss Confederation Bond 0.5% 2029</t>
  </si>
  <si>
    <t>Fixed Income</t>
  </si>
  <si>
    <t>Govt CHF</t>
  </si>
  <si>
    <t>Bond</t>
  </si>
  <si>
    <t>Euro Area Govt Bond ETF (7-10y)</t>
  </si>
  <si>
    <t>Govt EUR</t>
  </si>
  <si>
    <t>EU</t>
  </si>
  <si>
    <t>iShares Global Corp Bond (IG) ETF</t>
  </si>
  <si>
    <t>Corp IG</t>
  </si>
  <si>
    <t>Global High Yield Bond Fund</t>
  </si>
  <si>
    <t>High Yield</t>
  </si>
  <si>
    <t>Fund</t>
  </si>
  <si>
    <t>Watchlist</t>
  </si>
  <si>
    <t>Gold ETC</t>
  </si>
  <si>
    <t>Alternatives</t>
  </si>
  <si>
    <t>Gold</t>
  </si>
  <si>
    <t>ETC</t>
  </si>
  <si>
    <t>Global REIT ETF</t>
  </si>
  <si>
    <t>Real Estate</t>
  </si>
  <si>
    <t>Multi-Strategy Hedge Fund</t>
  </si>
  <si>
    <t>Hedge Fund</t>
  </si>
  <si>
    <t>Cash CHF</t>
  </si>
  <si>
    <t>Cash</t>
  </si>
  <si>
    <t>Cash EUR</t>
  </si>
  <si>
    <t>Cash USD</t>
  </si>
  <si>
    <t>report_date</t>
  </si>
  <si>
    <t>quantity</t>
  </si>
  <si>
    <t>price_local</t>
  </si>
  <si>
    <t>market_value_local</t>
  </si>
  <si>
    <t>date</t>
  </si>
  <si>
    <t>from_ccy</t>
  </si>
  <si>
    <t>to_ccy</t>
  </si>
  <si>
    <t>fx_to_chf</t>
  </si>
  <si>
    <t>benchmark_name</t>
  </si>
  <si>
    <t>bench_return_1m</t>
  </si>
  <si>
    <t>bench_return_ytd</t>
  </si>
  <si>
    <t>40/50/10 (Eq/FI/Cash)</t>
  </si>
  <si>
    <t>50/45/5 (Eq/FI/Cash)</t>
  </si>
  <si>
    <t>60/35/5 (Eq/FI/Cash)</t>
  </si>
  <si>
    <t>75/20/5 (Eq/FI/Cash)</t>
  </si>
  <si>
    <t>Segment</t>
  </si>
  <si>
    <t>Risk profile</t>
  </si>
  <si>
    <t>Mandate</t>
  </si>
  <si>
    <t>Base Currency</t>
  </si>
  <si>
    <t>market_value_chf</t>
  </si>
  <si>
    <t>AUM</t>
  </si>
  <si>
    <t>Client Selector</t>
  </si>
  <si>
    <t>Asset Class</t>
  </si>
  <si>
    <t>Allocation (%)</t>
  </si>
  <si>
    <t>AUM:</t>
  </si>
  <si>
    <t>Strategic allocation:</t>
  </si>
  <si>
    <t>For Market commentary</t>
  </si>
  <si>
    <t>Client: CH-0001 (HNW, Balanced, Advisory).</t>
  </si>
  <si>
    <t>Market Commentary (Switzerland) | January 2026 | 2026-01-14</t>
  </si>
  <si>
    <t>Overview:
_x000D_Swiss markets continue to reflect a low-growth, low-inflation environment, with the CHF supported by its safe-haven profile. In this context, defensives and income-oriented assets remain relatively attractive, while volatility can rise around macro and geopolitical headlines.
_x000D_
_x000D_Central bank (SNB):
_x000D_• Policy stance remains accommodative, with a focus on price stability (0–2%) and attention to CHF strength.
_x000D_• Base case: rates stay low in 2026 as long as inflation remains contained.
_x000D_
_x000D_Inflation:
_x000D_• Inflation remains very low by international standards; CHF strength continues to limit imported price pressures.
_x000D_• Key watch items: energy prices, supply-chain disruptions, and services inflation.
_x000D_
_x000D_Earnings &amp; equities:
_x000D_• Earnings expectations are cautiously positive, supported by defensive sectors (healthcare, staples) and select exporters.
_x000D_• Dividend yield and quality bias remain attractive in a low-rate environment.
_x000D_
_x000D_Geopolitics:
_x000D_• Ongoing geopolitical uncertainty supports Switzerland’s safe-haven role, but global trade and sanctions complexity remain key risks for cross-border finance.
_x000D_
_x000D_Implications:
_x000D_Maintain diversification, avoid reactive trading around headline risk, and rebalance systematically when allocations drift.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</si>
</sst>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"/>
  </numFmts>
  <fonts count="27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Arial"/>
      <family val="2"/>
    </font>
    <font>
      <sz val="14"/>
      <color theme="1"/>
      <name val="Arial"/>
      <family val="2"/>
    </font>
    <font>
      <sz val="14"/>
      <color rgb="FF00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i/>
      <sz val="12"/>
      <color theme="1"/>
      <name val="Arial"/>
      <family val="2"/>
    </font>
    <font>
      <i/>
      <sz val="12"/>
      <color theme="1"/>
      <name val="Aptos Narrow"/>
      <family val="2"/>
      <scheme val="minor"/>
    </font>
    <font>
      <sz val="12"/>
      <name val="Arial"/>
      <family val="2"/>
    </font>
    <font>
      <sz val="14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18" fillId="0" borderId="0" xfId="0" applyFont="1"/>
    <xf numFmtId="0" fontId="18" fillId="0" borderId="0" xfId="0" applyFont="1" applyAlignment="1">
      <alignment horizontal="left" vertical="top" wrapText="1"/>
    </xf>
    <xf numFmtId="0" fontId="20" fillId="0" borderId="0" xfId="0" applyFont="1"/>
    <xf numFmtId="10" fontId="18" fillId="0" borderId="0" xfId="1" applyNumberFormat="1" applyFont="1"/>
    <xf numFmtId="0" fontId="21" fillId="0" borderId="0" xfId="0" applyFont="1"/>
    <xf numFmtId="164" fontId="18" fillId="0" borderId="0" xfId="0" applyNumberFormat="1" applyFont="1"/>
    <xf numFmtId="0" fontId="0" fillId="0" borderId="0" xfId="0" applyProtection="1">
      <protection locked="0"/>
    </xf>
    <xf numFmtId="0" fontId="19" fillId="0" borderId="0" xfId="0" applyFont="1" applyAlignment="1">
      <alignment horizontal="left" vertical="center"/>
    </xf>
    <xf numFmtId="0" fontId="18" fillId="0" borderId="0" xfId="0" applyFont="1" applyAlignment="1">
      <alignment wrapText="1"/>
    </xf>
    <xf numFmtId="0" fontId="22" fillId="33" borderId="0" xfId="0" applyFont="1" applyFill="1" applyAlignment="1">
      <alignment horizontal="center" vertical="center" wrapText="1"/>
    </xf>
    <xf numFmtId="0" fontId="16" fillId="0" borderId="0" xfId="0" applyFont="1"/>
    <xf numFmtId="14" fontId="23" fillId="0" borderId="0" xfId="0" applyNumberFormat="1" applyFont="1" applyAlignment="1">
      <alignment horizontal="left" wrapText="1"/>
    </xf>
    <xf numFmtId="0" fontId="24" fillId="0" borderId="0" xfId="0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 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7">
    <dxf>
      <numFmt numFmtId="19" formatCode="dd/mm/yyyy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colors>
    <mruColors>
      <color rgb="FF155F82"/>
      <color rgb="FF196623"/>
      <color rgb="FFA02B93"/>
      <color rgb="FF0C3A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>
                <a:latin typeface="Arial" panose="020B0604020202020204" pitchFamily="34" charset="0"/>
                <a:cs typeface="Arial" panose="020B0604020202020204" pitchFamily="34" charset="0"/>
              </a:rPr>
              <a:t>Allocation (%)</a:t>
            </a:r>
          </a:p>
        </c:rich>
      </c:tx>
      <c:layout>
        <c:manualLayout>
          <c:xMode val="edge"/>
          <c:yMode val="edge"/>
          <c:x val="0.4097241712340588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Portfolio_Summary!$D$7</c:f>
              <c:strCache>
                <c:ptCount val="1"/>
                <c:pt idx="0">
                  <c:v>Allocation (%)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0BB1-2B49-8F05-C8AFDD85AFFB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BB1-2B49-8F05-C8AFDD85AFFB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BB1-2B49-8F05-C8AFDD85AFFB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BB1-2B49-8F05-C8AFDD85AFFB}"/>
              </c:ext>
            </c:extLst>
          </c:dPt>
          <c:dLbls>
            <c:dLbl>
              <c:idx val="0"/>
              <c:layout>
                <c:manualLayout>
                  <c:x val="-5.3155586841371148E-3"/>
                  <c:y val="-3.274059647893228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ln>
                          <a:noFill/>
                        </a:ln>
                        <a:solidFill>
                          <a:srgbClr val="155F82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fld id="{1EFBB0F3-FB36-8145-A35C-0C1EFBE8A089}" type="VALUE">
                      <a:rPr lang="en-US" sz="1000">
                        <a:ln>
                          <a:noFill/>
                        </a:ln>
                        <a:solidFill>
                          <a:srgbClr val="155F82"/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>
                        <a:defRPr sz="1000">
                          <a:ln>
                            <a:noFill/>
                          </a:ln>
                          <a:solidFill>
                            <a:srgbClr val="155F82"/>
                          </a:solidFill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[VALUE]</a:t>
                    </a:fld>
                    <a:endParaRPr lang="en-GB"/>
                  </a:p>
                </c:rich>
              </c:tx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ln>
                        <a:noFill/>
                      </a:ln>
                      <a:solidFill>
                        <a:srgbClr val="155F82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GB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0BB1-2B49-8F05-C8AFDD85AFFB}"/>
                </c:ext>
              </c:extLst>
            </c:dLbl>
            <c:dLbl>
              <c:idx val="1"/>
              <c:layout>
                <c:manualLayout>
                  <c:x val="-6.6209472951257752E-4"/>
                  <c:y val="-6.597986100558513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196623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fld id="{8778E621-97FF-D343-9E5B-6BB213371653}" type="VALUE">
                      <a:rPr lang="en-US" sz="1000">
                        <a:ln>
                          <a:noFill/>
                        </a:ln>
                        <a:solidFill>
                          <a:srgbClr val="196623"/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>
                        <a:defRPr sz="1000">
                          <a:solidFill>
                            <a:srgbClr val="196623"/>
                          </a:solidFill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[VALUE]</a:t>
                    </a:fld>
                    <a:endParaRPr lang="en-GB"/>
                  </a:p>
                </c:rich>
              </c:tx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196623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GB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0BB1-2B49-8F05-C8AFDD85AFFB}"/>
                </c:ext>
              </c:extLst>
            </c:dLbl>
            <c:dLbl>
              <c:idx val="2"/>
              <c:layout>
                <c:manualLayout>
                  <c:x val="1.1278984429002154E-2"/>
                  <c:y val="2.49538701044163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ln>
                          <a:noFill/>
                        </a:ln>
                        <a:solidFill>
                          <a:srgbClr val="A02B93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fld id="{11AA9D04-804B-FA4A-AFBB-601C82CEAD6E}" type="VALUE">
                      <a:rPr lang="en-US" sz="1000">
                        <a:ln>
                          <a:noFill/>
                        </a:ln>
                        <a:solidFill>
                          <a:srgbClr val="A02B93"/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>
                        <a:defRPr sz="1000">
                          <a:ln>
                            <a:noFill/>
                          </a:ln>
                          <a:solidFill>
                            <a:srgbClr val="A02B93"/>
                          </a:solidFill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[VALUE]</a:t>
                    </a:fld>
                    <a:endParaRPr lang="en-GB"/>
                  </a:p>
                </c:rich>
              </c:tx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ln>
                        <a:noFill/>
                      </a:ln>
                      <a:solidFill>
                        <a:srgbClr val="A02B93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GB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0BB1-2B49-8F05-C8AFDD85AFFB}"/>
                </c:ext>
              </c:extLst>
            </c:dLbl>
            <c:dLbl>
              <c:idx val="3"/>
              <c:layout>
                <c:manualLayout>
                  <c:x val="9.4297262410211122E-3"/>
                  <c:y val="1.485336120250946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ln>
                          <a:noFill/>
                        </a:ln>
                        <a:solidFill>
                          <a:srgbClr val="0C3A4E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fld id="{1BE4CE71-A7C4-B642-9F4A-D326F5C686EC}" type="VALUE">
                      <a:rPr lang="en-US" sz="1000">
                        <a:ln>
                          <a:noFill/>
                        </a:ln>
                        <a:solidFill>
                          <a:srgbClr val="0C3A4E"/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>
                        <a:defRPr sz="1000">
                          <a:ln>
                            <a:noFill/>
                          </a:ln>
                          <a:solidFill>
                            <a:srgbClr val="0C3A4E"/>
                          </a:solidFill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[VALUE]</a:t>
                    </a:fld>
                    <a:endParaRPr lang="en-GB"/>
                  </a:p>
                </c:rich>
              </c:tx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ln>
                        <a:noFill/>
                      </a:ln>
                      <a:solidFill>
                        <a:srgbClr val="0C3A4E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GB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0BB1-2B49-8F05-C8AFDD85AFFB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CH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Portfolio_Summary!$C$8:$C$11</c:f>
              <c:strCache>
                <c:ptCount val="4"/>
                <c:pt idx="0">
                  <c:v>Equity</c:v>
                </c:pt>
                <c:pt idx="1">
                  <c:v>Fixed Income</c:v>
                </c:pt>
                <c:pt idx="2">
                  <c:v>Alternatives</c:v>
                </c:pt>
                <c:pt idx="3">
                  <c:v>Cash</c:v>
                </c:pt>
              </c:strCache>
            </c:strRef>
          </c:cat>
          <c:val>
            <c:numRef>
              <c:f>Portfolio_Summary!$D$8:$D$11</c:f>
              <c:numCache>
                <c:formatCode>General</c:formatCode>
                <c:ptCount val="4"/>
                <c:pt idx="0">
                  <c:v>0.5736274418408227</c:v>
                </c:pt>
                <c:pt idx="1">
                  <c:v>0.22219487816865061</c:v>
                </c:pt>
                <c:pt idx="2">
                  <c:v>0.17462249538354313</c:v>
                </c:pt>
                <c:pt idx="3">
                  <c:v>2.9555184606983535E-2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B1-2B49-8F05-C8AFDD85AFF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C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95249</xdr:colOff>
      <xdr:row>11</xdr:row>
      <xdr:rowOff>116719</xdr:rowOff>
    </xdr:from>
    <xdr:to>
      <xdr:col>7</xdr:col>
      <xdr:colOff>406400</xdr:colOff>
      <xdr:row>27</xdr:row>
      <xdr:rowOff>90109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64B49B6-5F06-8184-8989-389538552F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1</xdr:row>
          <xdr:rowOff>190500</xdr:rowOff>
        </xdr:from>
        <xdr:to>
          <xdr:col>0</xdr:col>
          <xdr:colOff>1447800</xdr:colOff>
          <xdr:row>3</xdr:row>
          <xdr:rowOff>127000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9393241B-C3B0-3CF6-830D-2F6A5BE4C0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5</xdr:row>
          <xdr:rowOff>88900</xdr:rowOff>
        </xdr:from>
        <xdr:to>
          <xdr:col>0</xdr:col>
          <xdr:colOff>1651000</xdr:colOff>
          <xdr:row>8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3D34485A-B6FE-2220-2A9E-80F058BF3A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Generate Market Commentary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4AF567-9C31-1E43-B86D-0F4FCC1F5AA3}" name="tblClients" displayName="tblClients" ref="A1:G5" totalsRowShown="0">
  <autoFilter ref="A1:G5" xr:uid="{E54AF567-9C31-1E43-B86D-0F4FCC1F5AA3}"/>
  <tableColumns count="7">
    <tableColumn id="1" xr3:uid="{A518E423-79CA-B045-BB21-F2E559026092}" name="client_id"/>
    <tableColumn id="2" xr3:uid="{90DF93ED-FCFC-E54A-8D20-8CBC24D9A79B}" name="client_name"/>
    <tableColumn id="3" xr3:uid="{B4F4809E-D413-4647-9F7B-AD46D18A8D96}" name="segment"/>
    <tableColumn id="4" xr3:uid="{52A8E9E6-9710-6F4B-AD78-CA66D45F0B94}" name="base_ccy"/>
    <tableColumn id="5" xr3:uid="{16689E1C-CDC6-AB45-AA23-67B1F3107E25}" name="risk_profile"/>
    <tableColumn id="6" xr3:uid="{D68920BF-F081-2C48-AC8A-EB5957461BF6}" name="mandate"/>
    <tableColumn id="7" xr3:uid="{BD7937F0-4661-BF49-8901-ACCAAC375596}" name="start_date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0377FA-AFBE-9548-B0F2-6A34A20D53D8}" name="tblReturns" displayName="tblReturns" ref="A1:D18" totalsRowShown="0">
  <autoFilter ref="A1:D18" xr:uid="{CE0377FA-AFBE-9548-B0F2-6A34A20D53D8}"/>
  <tableColumns count="4">
    <tableColumn id="1" xr3:uid="{931D3FA6-57F6-ED49-9528-CD0715FB4832}" name="as_of" dataDxfId="5"/>
    <tableColumn id="2" xr3:uid="{DDBB1F91-9194-FF47-BF9D-8428CD0B4B78}" name="security_id"/>
    <tableColumn id="3" xr3:uid="{5AB8B3F9-84EE-144C-8A5A-051948B3CD07}" name="return_1m"/>
    <tableColumn id="4" xr3:uid="{D4F0DD6B-2310-174B-A506-A27984792381}" name="return_yt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C50287-A17D-464A-868C-3FA9EC9543D9}" name="tblMarket" displayName="tblMarket" ref="A1:C7" totalsRowShown="0">
  <autoFilter ref="A1:C7" xr:uid="{DFC50287-A17D-464A-868C-3FA9EC9543D9}"/>
  <tableColumns count="3">
    <tableColumn id="1" xr3:uid="{051F4D6C-C664-5145-935C-87F9D6FBB24B}" name="as_of" dataDxfId="4"/>
    <tableColumn id="2" xr3:uid="{90F224DC-6ED6-4742-B3E2-FFDB8307FA67}" name="metric"/>
    <tableColumn id="3" xr3:uid="{BE288E6F-BD34-EE49-A419-FD5D7E85CC2F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30C1E38-CE76-D244-8231-1613449888CE}" name="tblUniverse" displayName="tblUniverse" ref="A1:I18" totalsRowShown="0">
  <autoFilter ref="A1:I18" xr:uid="{130C1E38-CE76-D244-8231-1613449888CE}"/>
  <tableColumns count="9">
    <tableColumn id="1" xr3:uid="{DEA9B444-9EF9-E64E-A235-56FE92FE0C3F}" name="security_id"/>
    <tableColumn id="2" xr3:uid="{11656DA2-76F3-374B-8D1A-CB50B72BA01B}" name="name"/>
    <tableColumn id="3" xr3:uid="{2CA4E2BD-3CCD-ED47-879E-86458851B3A8}" name="asset_class"/>
    <tableColumn id="4" xr3:uid="{2785B75D-6B21-E54F-A714-4F2BC535631A}" name="sub_class"/>
    <tableColumn id="5" xr3:uid="{9489A4E4-2D71-E143-8308-B9C8CBC7AD92}" name="instrument_type"/>
    <tableColumn id="6" xr3:uid="{49403E82-D61F-C041-965E-04250FBCF1DF}" name="currency"/>
    <tableColumn id="7" xr3:uid="{9560D4A9-EA76-6547-B2E0-B74C067B6E11}" name="region"/>
    <tableColumn id="8" xr3:uid="{7B7C66FC-B261-974E-9645-B0F4645E7444}" name="esg_score"/>
    <tableColumn id="9" xr3:uid="{51D5D30A-3EA6-D249-BC3B-B01D57D10DD4}" name="statu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9FB86D-FD45-6740-A5A6-5190EF0C4E92}" name="tblHoldings" displayName="tblHoldings" ref="A1:I39" totalsRowShown="0">
  <autoFilter ref="A1:I39" xr:uid="{C09FB86D-FD45-6740-A5A6-5190EF0C4E92}"/>
  <tableColumns count="9">
    <tableColumn id="1" xr3:uid="{44008074-CF9E-6144-9D65-6D1A37DA8813}" name="report_date" dataDxfId="3"/>
    <tableColumn id="2" xr3:uid="{480ED913-8114-2E49-B964-6070929DFB48}" name="client_id"/>
    <tableColumn id="3" xr3:uid="{B832EF8E-7796-9047-B6FB-31F8EF79A55A}" name="security_id"/>
    <tableColumn id="4" xr3:uid="{6897B80B-7929-7A41-808D-7E46BC77A885}" name="quantity"/>
    <tableColumn id="5" xr3:uid="{5817CEAD-6013-1C4A-8C7D-EB5BF407FFE2}" name="price_local"/>
    <tableColumn id="6" xr3:uid="{471F8D81-906B-C94E-ACBD-7680002702AA}" name="market_value_local"/>
    <tableColumn id="7" xr3:uid="{680EE27D-30B7-EE43-9FF6-0A928BE1A84E}" name="currency"/>
    <tableColumn id="8" xr3:uid="{BBDFFF39-9F8E-0C45-A805-C7C2644A0E86}" name="fx_to_chf" dataDxfId="2">
      <calculatedColumnFormula>_xlfn.XLOOKUP(tblHoldings[[#This Row],[currency]], tblFX[from_ccy], tblFX[fx_to_chf])</calculatedColumnFormula>
    </tableColumn>
    <tableColumn id="9" xr3:uid="{372A4E0C-541E-444E-82A9-B7C907B22559}" name="market_value_chf" dataDxfId="1">
      <calculatedColumnFormula>tblHoldings[[#This Row],[market_value_local]]*tblHoldings[[#This Row],[fx_to_chf]]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D70AA84-AB26-C44B-BF96-B7B23042A6A2}" name="tblFX" displayName="tblFX" ref="A1:D4" totalsRowShown="0">
  <autoFilter ref="A1:D4" xr:uid="{DD70AA84-AB26-C44B-BF96-B7B23042A6A2}"/>
  <tableColumns count="4">
    <tableColumn id="1" xr3:uid="{DD4D949B-0EE8-994F-9FB7-70BB6E70E7B5}" name="date" dataDxfId="0"/>
    <tableColumn id="2" xr3:uid="{4EEFBFAB-8D82-BF4B-BFC1-633C6DD6E69A}" name="from_ccy"/>
    <tableColumn id="3" xr3:uid="{EFA5260F-460C-304C-BFBB-6FF82282451C}" name="to_ccy"/>
    <tableColumn id="4" xr3:uid="{87178A01-0FB3-A748-9F42-59862C27A239}" name="fx_to_chf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338AA20-FC1E-674E-A939-79597420ECC9}" name="tblBench" displayName="tblBench" ref="A1:D5" totalsRowShown="0">
  <autoFilter ref="A1:D5" xr:uid="{3338AA20-FC1E-674E-A939-79597420ECC9}"/>
  <tableColumns count="4">
    <tableColumn id="1" xr3:uid="{46CEC574-A216-694F-95F0-D1C1B7D2BE31}" name="risk_profile"/>
    <tableColumn id="2" xr3:uid="{560DACEE-79E2-3641-93D4-9CF6F1A4E7F4}" name="benchmark_name"/>
    <tableColumn id="3" xr3:uid="{4BAE53D2-02D7-1040-AB4A-4FA1555B3DC8}" name="bench_return_1m"/>
    <tableColumn id="4" xr3:uid="{327EB247-47F4-5C4D-9A82-B9E149C109A1}" name="bench_return_yt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8A8B0-CC02-AD43-B941-9E40319F0D22}">
  <sheetPr codeName="Sheet1"/>
  <dimension ref="A1:G5"/>
  <sheetViews>
    <sheetView workbookViewId="0">
      <selection activeCell="B12" sqref="B12"/>
    </sheetView>
  </sheetViews>
  <sheetFormatPr baseColWidth="10" defaultRowHeight="16" x14ac:dyDescent="0.2"/>
  <cols>
    <col min="2" max="2" width="13.6640625" customWidth="1"/>
    <col min="4" max="4" width="11.1640625" customWidth="1"/>
    <col min="5" max="5" width="12.83203125" customWidth="1"/>
    <col min="7" max="7" width="12" customWidth="1"/>
  </cols>
  <sheetData>
    <row r="1" spans="1: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">
      <c r="A2" t="s">
        <v>7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 s="1">
        <v>44666</v>
      </c>
    </row>
    <row r="3" spans="1:7" x14ac:dyDescent="0.2">
      <c r="A3" t="s">
        <v>13</v>
      </c>
      <c r="B3" t="s">
        <v>14</v>
      </c>
      <c r="C3" t="s">
        <v>15</v>
      </c>
      <c r="D3" t="s">
        <v>10</v>
      </c>
      <c r="E3" t="s">
        <v>16</v>
      </c>
      <c r="F3" t="s">
        <v>12</v>
      </c>
      <c r="G3" s="1">
        <v>44472</v>
      </c>
    </row>
    <row r="4" spans="1:7" x14ac:dyDescent="0.2">
      <c r="A4" t="s">
        <v>17</v>
      </c>
      <c r="B4" t="s">
        <v>18</v>
      </c>
      <c r="C4" t="s">
        <v>9</v>
      </c>
      <c r="D4" t="s">
        <v>19</v>
      </c>
      <c r="E4" t="s">
        <v>20</v>
      </c>
      <c r="F4" t="s">
        <v>12</v>
      </c>
      <c r="G4" s="1">
        <v>44946</v>
      </c>
    </row>
    <row r="5" spans="1:7" x14ac:dyDescent="0.2">
      <c r="A5" t="s">
        <v>21</v>
      </c>
      <c r="B5" t="s">
        <v>22</v>
      </c>
      <c r="C5" t="s">
        <v>23</v>
      </c>
      <c r="D5" t="s">
        <v>10</v>
      </c>
      <c r="E5" t="s">
        <v>24</v>
      </c>
      <c r="F5" t="s">
        <v>25</v>
      </c>
      <c r="G5" s="1">
        <v>43987</v>
      </c>
    </row>
  </sheetData>
  <pageMargins left="0.75" right="0.75" top="1" bottom="1" header="0.5" footer="0.5"/>
  <pageSetup paperSize="9"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A38E8-08C8-064A-A32F-DF402872C9ED}">
  <sheetPr codeName="Sheet2"/>
  <dimension ref="A1:D18"/>
  <sheetViews>
    <sheetView workbookViewId="0">
      <selection activeCell="G10" sqref="G10"/>
    </sheetView>
  </sheetViews>
  <sheetFormatPr baseColWidth="10" defaultRowHeight="16" x14ac:dyDescent="0.2"/>
  <cols>
    <col min="2" max="2" width="12.5" customWidth="1"/>
    <col min="3" max="3" width="12" customWidth="1"/>
    <col min="4" max="4" width="11.83203125" customWidth="1"/>
  </cols>
  <sheetData>
    <row r="1" spans="1:4" x14ac:dyDescent="0.2">
      <c r="A1" t="s">
        <v>26</v>
      </c>
      <c r="B1" t="s">
        <v>27</v>
      </c>
      <c r="C1" t="s">
        <v>28</v>
      </c>
      <c r="D1" t="s">
        <v>29</v>
      </c>
    </row>
    <row r="2" spans="1:4" x14ac:dyDescent="0.2">
      <c r="A2" s="1">
        <v>46032</v>
      </c>
      <c r="B2" t="s">
        <v>30</v>
      </c>
      <c r="C2">
        <v>4.861E-2</v>
      </c>
      <c r="D2">
        <v>-0.10818999999999999</v>
      </c>
    </row>
    <row r="3" spans="1:4" x14ac:dyDescent="0.2">
      <c r="A3" s="1">
        <v>46032</v>
      </c>
      <c r="B3" t="s">
        <v>31</v>
      </c>
      <c r="C3">
        <v>3.2379999999999999E-2</v>
      </c>
      <c r="D3">
        <v>4.9020000000000001E-2</v>
      </c>
    </row>
    <row r="4" spans="1:4" x14ac:dyDescent="0.2">
      <c r="A4" s="1">
        <v>46032</v>
      </c>
      <c r="B4" t="s">
        <v>32</v>
      </c>
      <c r="C4">
        <v>-8.77E-3</v>
      </c>
      <c r="D4">
        <v>-8.5680000000000006E-2</v>
      </c>
    </row>
    <row r="5" spans="1:4" x14ac:dyDescent="0.2">
      <c r="A5" s="1">
        <v>46032</v>
      </c>
      <c r="B5" t="s">
        <v>33</v>
      </c>
      <c r="C5">
        <v>1.789E-2</v>
      </c>
      <c r="D5">
        <v>-1.2359999999999999E-2</v>
      </c>
    </row>
    <row r="6" spans="1:4" x14ac:dyDescent="0.2">
      <c r="A6" s="1">
        <v>46032</v>
      </c>
      <c r="B6" t="s">
        <v>34</v>
      </c>
      <c r="C6">
        <v>2.4309999999999998E-2</v>
      </c>
      <c r="D6">
        <v>3.175E-2</v>
      </c>
    </row>
    <row r="7" spans="1:4" x14ac:dyDescent="0.2">
      <c r="A7" s="1">
        <v>46032</v>
      </c>
      <c r="B7" t="s">
        <v>35</v>
      </c>
      <c r="C7">
        <v>7.9070000000000001E-2</v>
      </c>
      <c r="D7">
        <v>1.085E-2</v>
      </c>
    </row>
    <row r="8" spans="1:4" x14ac:dyDescent="0.2">
      <c r="A8" s="1">
        <v>46032</v>
      </c>
      <c r="B8" t="s">
        <v>36</v>
      </c>
      <c r="C8">
        <v>-2.5940000000000001E-2</v>
      </c>
      <c r="D8">
        <v>4.4339999999999997E-2</v>
      </c>
    </row>
    <row r="9" spans="1:4" x14ac:dyDescent="0.2">
      <c r="A9" s="1">
        <v>46032</v>
      </c>
      <c r="B9" t="s">
        <v>37</v>
      </c>
      <c r="C9">
        <v>6.6400000000000001E-3</v>
      </c>
      <c r="D9">
        <v>5.0779999999999999E-2</v>
      </c>
    </row>
    <row r="10" spans="1:4" x14ac:dyDescent="0.2">
      <c r="A10" s="1">
        <v>46032</v>
      </c>
      <c r="B10" t="s">
        <v>38</v>
      </c>
      <c r="C10">
        <v>1.4019999999999999E-2</v>
      </c>
      <c r="D10">
        <v>2.0709999999999999E-2</v>
      </c>
    </row>
    <row r="11" spans="1:4" x14ac:dyDescent="0.2">
      <c r="A11" s="1">
        <v>46032</v>
      </c>
      <c r="B11" t="s">
        <v>39</v>
      </c>
      <c r="C11">
        <v>2.1559999999999999E-2</v>
      </c>
      <c r="D11">
        <v>-2.5659999999999999E-2</v>
      </c>
    </row>
    <row r="12" spans="1:4" x14ac:dyDescent="0.2">
      <c r="A12" s="1">
        <v>46032</v>
      </c>
      <c r="B12" t="s">
        <v>40</v>
      </c>
      <c r="C12">
        <v>-3.6800000000000001E-3</v>
      </c>
      <c r="D12">
        <v>-1.78E-2</v>
      </c>
    </row>
    <row r="13" spans="1:4" x14ac:dyDescent="0.2">
      <c r="A13" s="1">
        <v>46032</v>
      </c>
      <c r="B13" t="s">
        <v>41</v>
      </c>
      <c r="C13">
        <v>-1.6900000000000001E-3</v>
      </c>
      <c r="D13">
        <v>-6.2600000000000003E-2</v>
      </c>
    </row>
    <row r="14" spans="1:4" x14ac:dyDescent="0.2">
      <c r="A14" s="1">
        <v>46032</v>
      </c>
      <c r="B14" t="s">
        <v>42</v>
      </c>
      <c r="C14">
        <v>2.9049999999999999E-2</v>
      </c>
      <c r="D14">
        <v>6.6699999999999997E-3</v>
      </c>
    </row>
    <row r="15" spans="1:4" x14ac:dyDescent="0.2">
      <c r="A15" s="1">
        <v>46032</v>
      </c>
      <c r="B15" t="s">
        <v>43</v>
      </c>
      <c r="C15">
        <v>-3.4119999999999998E-2</v>
      </c>
      <c r="D15">
        <v>-4.0930000000000001E-2</v>
      </c>
    </row>
    <row r="16" spans="1:4" x14ac:dyDescent="0.2">
      <c r="A16" s="1">
        <v>46032</v>
      </c>
      <c r="B16" t="s">
        <v>44</v>
      </c>
      <c r="C16">
        <v>8.8999999999999995E-4</v>
      </c>
      <c r="D16">
        <v>2.3E-3</v>
      </c>
    </row>
    <row r="17" spans="1:4" x14ac:dyDescent="0.2">
      <c r="A17" s="1">
        <v>46032</v>
      </c>
      <c r="B17" t="s">
        <v>45</v>
      </c>
      <c r="C17">
        <v>1.4E-3</v>
      </c>
      <c r="D17">
        <v>3.5500000000000002E-3</v>
      </c>
    </row>
    <row r="18" spans="1:4" x14ac:dyDescent="0.2">
      <c r="A18" s="1">
        <v>46032</v>
      </c>
      <c r="B18" t="s">
        <v>46</v>
      </c>
      <c r="C18">
        <v>9.2000000000000003E-4</v>
      </c>
      <c r="D18">
        <v>1.2099999999999999E-3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760F2-5A92-EE48-8722-05C25258A8E2}">
  <sheetPr codeName="Sheet3"/>
  <dimension ref="A1:C7"/>
  <sheetViews>
    <sheetView workbookViewId="0">
      <selection activeCell="I12" sqref="I12"/>
    </sheetView>
  </sheetViews>
  <sheetFormatPr baseColWidth="10" defaultRowHeight="16" x14ac:dyDescent="0.2"/>
  <sheetData>
    <row r="1" spans="1:3" x14ac:dyDescent="0.2">
      <c r="A1" t="s">
        <v>26</v>
      </c>
      <c r="B1" t="s">
        <v>47</v>
      </c>
      <c r="C1" t="s">
        <v>48</v>
      </c>
    </row>
    <row r="2" spans="1:3" x14ac:dyDescent="0.2">
      <c r="A2" s="1">
        <v>46032</v>
      </c>
      <c r="B2" t="s">
        <v>49</v>
      </c>
      <c r="C2">
        <v>1.2E-2</v>
      </c>
    </row>
    <row r="3" spans="1:3" x14ac:dyDescent="0.2">
      <c r="A3" s="1">
        <v>46032</v>
      </c>
      <c r="B3" t="s">
        <v>50</v>
      </c>
      <c r="C3">
        <v>-6.0000000000000001E-3</v>
      </c>
    </row>
    <row r="4" spans="1:3" x14ac:dyDescent="0.2">
      <c r="A4" s="1">
        <v>46032</v>
      </c>
      <c r="B4" t="s">
        <v>51</v>
      </c>
      <c r="C4">
        <v>8.0000000000000002E-3</v>
      </c>
    </row>
    <row r="5" spans="1:3" x14ac:dyDescent="0.2">
      <c r="A5" s="1">
        <v>46032</v>
      </c>
      <c r="B5" t="s">
        <v>52</v>
      </c>
      <c r="C5">
        <v>-12</v>
      </c>
    </row>
    <row r="6" spans="1:3" x14ac:dyDescent="0.2">
      <c r="A6" s="1">
        <v>46032</v>
      </c>
      <c r="B6" t="s">
        <v>53</v>
      </c>
      <c r="C6">
        <v>2E-3</v>
      </c>
    </row>
    <row r="7" spans="1:3" x14ac:dyDescent="0.2">
      <c r="A7" s="1">
        <v>46032</v>
      </c>
      <c r="B7" t="s">
        <v>54</v>
      </c>
      <c r="C7">
        <v>1.4999999999999999E-2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28446-41DB-2441-8F0D-79704ADE8703}">
  <sheetPr codeName="Sheet4"/>
  <dimension ref="A1:I18"/>
  <sheetViews>
    <sheetView workbookViewId="0">
      <selection activeCell="D22" sqref="D22"/>
    </sheetView>
  </sheetViews>
  <sheetFormatPr baseColWidth="10" defaultRowHeight="16" x14ac:dyDescent="0.2"/>
  <cols>
    <col min="1" max="1" width="12.5" customWidth="1"/>
    <col min="3" max="3" width="13.5" customWidth="1"/>
    <col min="4" max="4" width="11.83203125" customWidth="1"/>
    <col min="5" max="5" width="17" customWidth="1"/>
    <col min="8" max="8" width="12" customWidth="1"/>
  </cols>
  <sheetData>
    <row r="1" spans="1:9" x14ac:dyDescent="0.2">
      <c r="A1" t="s">
        <v>27</v>
      </c>
      <c r="B1" t="s">
        <v>55</v>
      </c>
      <c r="C1" t="s">
        <v>56</v>
      </c>
      <c r="D1" t="s">
        <v>57</v>
      </c>
      <c r="E1" t="s">
        <v>58</v>
      </c>
      <c r="F1" t="s">
        <v>59</v>
      </c>
      <c r="G1" t="s">
        <v>60</v>
      </c>
      <c r="H1" t="s">
        <v>61</v>
      </c>
      <c r="I1" t="s">
        <v>62</v>
      </c>
    </row>
    <row r="2" spans="1:9" x14ac:dyDescent="0.2">
      <c r="A2" t="s">
        <v>30</v>
      </c>
      <c r="B2" t="s">
        <v>63</v>
      </c>
      <c r="C2" t="s">
        <v>64</v>
      </c>
      <c r="D2" t="s">
        <v>65</v>
      </c>
      <c r="E2" t="s">
        <v>66</v>
      </c>
      <c r="F2" t="s">
        <v>10</v>
      </c>
      <c r="G2" t="s">
        <v>67</v>
      </c>
      <c r="H2">
        <v>78</v>
      </c>
      <c r="I2" t="s">
        <v>68</v>
      </c>
    </row>
    <row r="3" spans="1:9" x14ac:dyDescent="0.2">
      <c r="A3" t="s">
        <v>31</v>
      </c>
      <c r="B3" t="s">
        <v>69</v>
      </c>
      <c r="C3" t="s">
        <v>64</v>
      </c>
      <c r="D3" t="s">
        <v>70</v>
      </c>
      <c r="E3" t="s">
        <v>66</v>
      </c>
      <c r="F3" t="s">
        <v>71</v>
      </c>
      <c r="G3" t="s">
        <v>70</v>
      </c>
      <c r="H3">
        <v>74</v>
      </c>
      <c r="I3" t="s">
        <v>68</v>
      </c>
    </row>
    <row r="4" spans="1:9" x14ac:dyDescent="0.2">
      <c r="A4" t="s">
        <v>32</v>
      </c>
      <c r="B4" t="s">
        <v>72</v>
      </c>
      <c r="C4" t="s">
        <v>64</v>
      </c>
      <c r="D4" t="s">
        <v>73</v>
      </c>
      <c r="E4" t="s">
        <v>66</v>
      </c>
      <c r="F4" t="s">
        <v>71</v>
      </c>
      <c r="G4" t="s">
        <v>74</v>
      </c>
      <c r="H4">
        <v>63</v>
      </c>
      <c r="I4" t="s">
        <v>68</v>
      </c>
    </row>
    <row r="5" spans="1:9" x14ac:dyDescent="0.2">
      <c r="A5" t="s">
        <v>33</v>
      </c>
      <c r="B5" t="s">
        <v>75</v>
      </c>
      <c r="C5" t="s">
        <v>64</v>
      </c>
      <c r="D5" t="s">
        <v>65</v>
      </c>
      <c r="E5" t="s">
        <v>64</v>
      </c>
      <c r="F5" t="s">
        <v>10</v>
      </c>
      <c r="G5" t="s">
        <v>67</v>
      </c>
      <c r="H5">
        <v>70</v>
      </c>
      <c r="I5" t="s">
        <v>68</v>
      </c>
    </row>
    <row r="6" spans="1:9" x14ac:dyDescent="0.2">
      <c r="A6" t="s">
        <v>34</v>
      </c>
      <c r="B6" t="s">
        <v>76</v>
      </c>
      <c r="C6" t="s">
        <v>64</v>
      </c>
      <c r="D6" t="s">
        <v>65</v>
      </c>
      <c r="E6" t="s">
        <v>64</v>
      </c>
      <c r="F6" t="s">
        <v>10</v>
      </c>
      <c r="G6" t="s">
        <v>67</v>
      </c>
      <c r="H6">
        <v>72</v>
      </c>
      <c r="I6" t="s">
        <v>68</v>
      </c>
    </row>
    <row r="7" spans="1:9" x14ac:dyDescent="0.2">
      <c r="A7" t="s">
        <v>35</v>
      </c>
      <c r="B7" t="s">
        <v>77</v>
      </c>
      <c r="C7" t="s">
        <v>64</v>
      </c>
      <c r="D7" t="s">
        <v>78</v>
      </c>
      <c r="E7" t="s">
        <v>64</v>
      </c>
      <c r="F7" t="s">
        <v>71</v>
      </c>
      <c r="G7" t="s">
        <v>79</v>
      </c>
      <c r="H7">
        <v>77</v>
      </c>
      <c r="I7" t="s">
        <v>68</v>
      </c>
    </row>
    <row r="8" spans="1:9" x14ac:dyDescent="0.2">
      <c r="A8" t="s">
        <v>36</v>
      </c>
      <c r="B8" t="s">
        <v>80</v>
      </c>
      <c r="C8" t="s">
        <v>64</v>
      </c>
      <c r="D8" t="s">
        <v>78</v>
      </c>
      <c r="E8" t="s">
        <v>64</v>
      </c>
      <c r="F8" t="s">
        <v>71</v>
      </c>
      <c r="G8" t="s">
        <v>79</v>
      </c>
      <c r="H8">
        <v>79</v>
      </c>
      <c r="I8" t="s">
        <v>68</v>
      </c>
    </row>
    <row r="9" spans="1:9" x14ac:dyDescent="0.2">
      <c r="A9" t="s">
        <v>37</v>
      </c>
      <c r="B9" t="s">
        <v>81</v>
      </c>
      <c r="C9" t="s">
        <v>82</v>
      </c>
      <c r="D9" t="s">
        <v>83</v>
      </c>
      <c r="E9" t="s">
        <v>84</v>
      </c>
      <c r="F9" t="s">
        <v>10</v>
      </c>
      <c r="G9" t="s">
        <v>67</v>
      </c>
      <c r="H9">
        <v>85</v>
      </c>
      <c r="I9" t="s">
        <v>68</v>
      </c>
    </row>
    <row r="10" spans="1:9" x14ac:dyDescent="0.2">
      <c r="A10" t="s">
        <v>38</v>
      </c>
      <c r="B10" t="s">
        <v>85</v>
      </c>
      <c r="C10" t="s">
        <v>82</v>
      </c>
      <c r="D10" t="s">
        <v>86</v>
      </c>
      <c r="E10" t="s">
        <v>66</v>
      </c>
      <c r="F10" t="s">
        <v>19</v>
      </c>
      <c r="G10" t="s">
        <v>87</v>
      </c>
      <c r="H10">
        <v>80</v>
      </c>
      <c r="I10" t="s">
        <v>68</v>
      </c>
    </row>
    <row r="11" spans="1:9" x14ac:dyDescent="0.2">
      <c r="A11" t="s">
        <v>39</v>
      </c>
      <c r="B11" t="s">
        <v>88</v>
      </c>
      <c r="C11" t="s">
        <v>82</v>
      </c>
      <c r="D11" t="s">
        <v>89</v>
      </c>
      <c r="E11" t="s">
        <v>66</v>
      </c>
      <c r="F11" t="s">
        <v>71</v>
      </c>
      <c r="G11" t="s">
        <v>70</v>
      </c>
      <c r="H11">
        <v>73</v>
      </c>
      <c r="I11" t="s">
        <v>68</v>
      </c>
    </row>
    <row r="12" spans="1:9" x14ac:dyDescent="0.2">
      <c r="A12" t="s">
        <v>40</v>
      </c>
      <c r="B12" t="s">
        <v>90</v>
      </c>
      <c r="C12" t="s">
        <v>82</v>
      </c>
      <c r="D12" t="s">
        <v>91</v>
      </c>
      <c r="E12" t="s">
        <v>92</v>
      </c>
      <c r="F12" t="s">
        <v>71</v>
      </c>
      <c r="G12" t="s">
        <v>70</v>
      </c>
      <c r="H12">
        <v>55</v>
      </c>
      <c r="I12" t="s">
        <v>93</v>
      </c>
    </row>
    <row r="13" spans="1:9" x14ac:dyDescent="0.2">
      <c r="A13" t="s">
        <v>41</v>
      </c>
      <c r="B13" t="s">
        <v>94</v>
      </c>
      <c r="C13" t="s">
        <v>95</v>
      </c>
      <c r="D13" t="s">
        <v>96</v>
      </c>
      <c r="E13" t="s">
        <v>97</v>
      </c>
      <c r="F13" t="s">
        <v>71</v>
      </c>
      <c r="G13" t="s">
        <v>70</v>
      </c>
      <c r="H13">
        <v>40</v>
      </c>
      <c r="I13" t="s">
        <v>68</v>
      </c>
    </row>
    <row r="14" spans="1:9" x14ac:dyDescent="0.2">
      <c r="A14" t="s">
        <v>42</v>
      </c>
      <c r="B14" t="s">
        <v>98</v>
      </c>
      <c r="C14" t="s">
        <v>95</v>
      </c>
      <c r="D14" t="s">
        <v>99</v>
      </c>
      <c r="E14" t="s">
        <v>66</v>
      </c>
      <c r="F14" t="s">
        <v>71</v>
      </c>
      <c r="G14" t="s">
        <v>70</v>
      </c>
      <c r="H14">
        <v>61</v>
      </c>
      <c r="I14" t="s">
        <v>68</v>
      </c>
    </row>
    <row r="15" spans="1:9" x14ac:dyDescent="0.2">
      <c r="A15" t="s">
        <v>43</v>
      </c>
      <c r="B15" t="s">
        <v>100</v>
      </c>
      <c r="C15" t="s">
        <v>95</v>
      </c>
      <c r="D15" t="s">
        <v>101</v>
      </c>
      <c r="E15" t="s">
        <v>92</v>
      </c>
      <c r="F15" t="s">
        <v>10</v>
      </c>
      <c r="G15" t="s">
        <v>70</v>
      </c>
      <c r="H15">
        <v>58</v>
      </c>
      <c r="I15" t="s">
        <v>93</v>
      </c>
    </row>
    <row r="16" spans="1:9" x14ac:dyDescent="0.2">
      <c r="A16" t="s">
        <v>44</v>
      </c>
      <c r="B16" t="s">
        <v>102</v>
      </c>
      <c r="C16" t="s">
        <v>103</v>
      </c>
      <c r="D16" t="s">
        <v>103</v>
      </c>
      <c r="E16" t="s">
        <v>103</v>
      </c>
      <c r="F16" t="s">
        <v>10</v>
      </c>
      <c r="G16" t="s">
        <v>67</v>
      </c>
      <c r="H16">
        <v>100</v>
      </c>
      <c r="I16" t="s">
        <v>68</v>
      </c>
    </row>
    <row r="17" spans="1:9" x14ac:dyDescent="0.2">
      <c r="A17" t="s">
        <v>45</v>
      </c>
      <c r="B17" t="s">
        <v>104</v>
      </c>
      <c r="C17" t="s">
        <v>103</v>
      </c>
      <c r="D17" t="s">
        <v>103</v>
      </c>
      <c r="E17" t="s">
        <v>103</v>
      </c>
      <c r="F17" t="s">
        <v>19</v>
      </c>
      <c r="G17" t="s">
        <v>87</v>
      </c>
      <c r="H17">
        <v>100</v>
      </c>
      <c r="I17" t="s">
        <v>68</v>
      </c>
    </row>
    <row r="18" spans="1:9" x14ac:dyDescent="0.2">
      <c r="A18" t="s">
        <v>46</v>
      </c>
      <c r="B18" t="s">
        <v>105</v>
      </c>
      <c r="C18" t="s">
        <v>103</v>
      </c>
      <c r="D18" t="s">
        <v>103</v>
      </c>
      <c r="E18" t="s">
        <v>103</v>
      </c>
      <c r="F18" t="s">
        <v>71</v>
      </c>
      <c r="G18" t="s">
        <v>79</v>
      </c>
      <c r="H18">
        <v>100</v>
      </c>
      <c r="I18" t="s">
        <v>68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2D646-0C64-0343-8C4F-C00C1A463E11}">
  <sheetPr codeName="Sheet5"/>
  <dimension ref="A1:I39"/>
  <sheetViews>
    <sheetView workbookViewId="0">
      <selection activeCell="H9" sqref="H9"/>
    </sheetView>
  </sheetViews>
  <sheetFormatPr baseColWidth="10" defaultRowHeight="16" x14ac:dyDescent="0.2"/>
  <cols>
    <col min="1" max="1" width="13" customWidth="1"/>
    <col min="3" max="3" width="12.5" customWidth="1"/>
    <col min="5" max="5" width="12.5" customWidth="1"/>
    <col min="6" max="6" width="19.5" customWidth="1"/>
  </cols>
  <sheetData>
    <row r="1" spans="1:9" x14ac:dyDescent="0.2">
      <c r="A1" t="s">
        <v>106</v>
      </c>
      <c r="B1" t="s">
        <v>0</v>
      </c>
      <c r="C1" t="s">
        <v>27</v>
      </c>
      <c r="D1" t="s">
        <v>107</v>
      </c>
      <c r="E1" t="s">
        <v>108</v>
      </c>
      <c r="F1" t="s">
        <v>109</v>
      </c>
      <c r="G1" t="s">
        <v>59</v>
      </c>
      <c r="H1" t="s">
        <v>113</v>
      </c>
      <c r="I1" t="s">
        <v>125</v>
      </c>
    </row>
    <row r="2" spans="1:9" x14ac:dyDescent="0.2">
      <c r="A2" s="1">
        <v>46032</v>
      </c>
      <c r="B2" t="s">
        <v>7</v>
      </c>
      <c r="C2" t="s">
        <v>44</v>
      </c>
      <c r="D2">
        <v>48333.95</v>
      </c>
      <c r="E2">
        <v>1</v>
      </c>
      <c r="F2">
        <v>48333.95</v>
      </c>
      <c r="G2" t="s">
        <v>10</v>
      </c>
      <c r="H2">
        <f>_xlfn.XLOOKUP(tblHoldings[[#This Row],[currency]], tblFX[from_ccy], tblFX[fx_to_chf])</f>
        <v>1</v>
      </c>
      <c r="I2">
        <f>tblHoldings[[#This Row],[market_value_local]]*tblHoldings[[#This Row],[fx_to_chf]]</f>
        <v>48333.95</v>
      </c>
    </row>
    <row r="3" spans="1:9" x14ac:dyDescent="0.2">
      <c r="A3" s="1">
        <v>46032</v>
      </c>
      <c r="B3" t="s">
        <v>7</v>
      </c>
      <c r="C3" t="s">
        <v>32</v>
      </c>
      <c r="D3">
        <v>452.05459999999999</v>
      </c>
      <c r="E3">
        <v>375.88139999999999</v>
      </c>
      <c r="F3">
        <v>169918.93</v>
      </c>
      <c r="G3" t="s">
        <v>71</v>
      </c>
      <c r="H3">
        <f>_xlfn.XLOOKUP(tblHoldings[[#This Row],[currency]], tblFX[from_ccy], tblFX[fx_to_chf])</f>
        <v>0.92</v>
      </c>
      <c r="I3">
        <f>tblHoldings[[#This Row],[market_value_local]]*tblHoldings[[#This Row],[fx_to_chf]]</f>
        <v>156325.41560000001</v>
      </c>
    </row>
    <row r="4" spans="1:9" x14ac:dyDescent="0.2">
      <c r="A4" s="1">
        <v>46032</v>
      </c>
      <c r="B4" t="s">
        <v>7</v>
      </c>
      <c r="C4" t="s">
        <v>37</v>
      </c>
      <c r="D4">
        <v>137006.26</v>
      </c>
      <c r="E4">
        <v>102.1066</v>
      </c>
      <c r="F4">
        <v>139892.48000000001</v>
      </c>
      <c r="G4" t="s">
        <v>10</v>
      </c>
      <c r="H4">
        <f>_xlfn.XLOOKUP(tblHoldings[[#This Row],[currency]], tblFX[from_ccy], tblFX[fx_to_chf])</f>
        <v>1</v>
      </c>
      <c r="I4">
        <f>tblHoldings[[#This Row],[market_value_local]]*tblHoldings[[#This Row],[fx_to_chf]]</f>
        <v>139892.48000000001</v>
      </c>
    </row>
    <row r="5" spans="1:9" x14ac:dyDescent="0.2">
      <c r="A5" s="1">
        <v>46032</v>
      </c>
      <c r="B5" t="s">
        <v>7</v>
      </c>
      <c r="C5" t="s">
        <v>33</v>
      </c>
      <c r="D5">
        <v>1010.598</v>
      </c>
      <c r="E5">
        <v>345.97770000000003</v>
      </c>
      <c r="F5">
        <v>349644.39</v>
      </c>
      <c r="G5" t="s">
        <v>10</v>
      </c>
      <c r="H5">
        <f>_xlfn.XLOOKUP(tblHoldings[[#This Row],[currency]], tblFX[from_ccy], tblFX[fx_to_chf])</f>
        <v>1</v>
      </c>
      <c r="I5">
        <f>tblHoldings[[#This Row],[market_value_local]]*tblHoldings[[#This Row],[fx_to_chf]]</f>
        <v>349644.39</v>
      </c>
    </row>
    <row r="6" spans="1:9" x14ac:dyDescent="0.2">
      <c r="A6" s="1">
        <v>46032</v>
      </c>
      <c r="B6" t="s">
        <v>7</v>
      </c>
      <c r="C6" t="s">
        <v>39</v>
      </c>
      <c r="D6">
        <v>1408.6344999999999</v>
      </c>
      <c r="E6">
        <v>172.4462</v>
      </c>
      <c r="F6">
        <v>242913.61</v>
      </c>
      <c r="G6" t="s">
        <v>71</v>
      </c>
      <c r="H6">
        <f>_xlfn.XLOOKUP(tblHoldings[[#This Row],[currency]], tblFX[from_ccy], tblFX[fx_to_chf])</f>
        <v>0.92</v>
      </c>
      <c r="I6">
        <f>tblHoldings[[#This Row],[market_value_local]]*tblHoldings[[#This Row],[fx_to_chf]]</f>
        <v>223480.52119999999</v>
      </c>
    </row>
    <row r="7" spans="1:9" x14ac:dyDescent="0.2">
      <c r="A7" s="1">
        <v>46032</v>
      </c>
      <c r="B7" t="s">
        <v>7</v>
      </c>
      <c r="C7" t="s">
        <v>42</v>
      </c>
      <c r="D7">
        <v>709.66279999999995</v>
      </c>
      <c r="E7">
        <v>437.40019999999998</v>
      </c>
      <c r="F7">
        <v>310406.62</v>
      </c>
      <c r="G7" t="s">
        <v>71</v>
      </c>
      <c r="H7">
        <f>_xlfn.XLOOKUP(tblHoldings[[#This Row],[currency]], tblFX[from_ccy], tblFX[fx_to_chf])</f>
        <v>0.92</v>
      </c>
      <c r="I7">
        <f>tblHoldings[[#This Row],[market_value_local]]*tblHoldings[[#This Row],[fx_to_chf]]</f>
        <v>285574.09039999999</v>
      </c>
    </row>
    <row r="8" spans="1:9" x14ac:dyDescent="0.2">
      <c r="A8" s="1">
        <v>46032</v>
      </c>
      <c r="B8" t="s">
        <v>7</v>
      </c>
      <c r="C8" t="s">
        <v>31</v>
      </c>
      <c r="D8">
        <v>414.0378</v>
      </c>
      <c r="E8">
        <v>404.0421</v>
      </c>
      <c r="F8">
        <v>167288.68</v>
      </c>
      <c r="G8" t="s">
        <v>71</v>
      </c>
      <c r="H8">
        <f>_xlfn.XLOOKUP(tblHoldings[[#This Row],[currency]], tblFX[from_ccy], tblFX[fx_to_chf])</f>
        <v>0.92</v>
      </c>
      <c r="I8">
        <f>tblHoldings[[#This Row],[market_value_local]]*tblHoldings[[#This Row],[fx_to_chf]]</f>
        <v>153905.58559999999</v>
      </c>
    </row>
    <row r="9" spans="1:9" x14ac:dyDescent="0.2">
      <c r="A9" s="1">
        <v>46032</v>
      </c>
      <c r="B9" t="s">
        <v>7</v>
      </c>
      <c r="C9" t="s">
        <v>34</v>
      </c>
      <c r="D9">
        <v>241.69749999999999</v>
      </c>
      <c r="E9">
        <v>354.70490000000001</v>
      </c>
      <c r="F9">
        <v>85731.28</v>
      </c>
      <c r="G9" t="s">
        <v>10</v>
      </c>
      <c r="H9">
        <f>_xlfn.XLOOKUP(tblHoldings[[#This Row],[currency]], tblFX[from_ccy], tblFX[fx_to_chf])</f>
        <v>1</v>
      </c>
      <c r="I9">
        <f>tblHoldings[[#This Row],[market_value_local]]*tblHoldings[[#This Row],[fx_to_chf]]</f>
        <v>85731.28</v>
      </c>
    </row>
    <row r="10" spans="1:9" x14ac:dyDescent="0.2">
      <c r="A10" s="1">
        <v>46032</v>
      </c>
      <c r="B10" t="s">
        <v>7</v>
      </c>
      <c r="C10" t="s">
        <v>35</v>
      </c>
      <c r="D10">
        <v>2017.7556999999999</v>
      </c>
      <c r="E10">
        <v>103.69459999999999</v>
      </c>
      <c r="F10">
        <v>209230.46</v>
      </c>
      <c r="G10" t="s">
        <v>71</v>
      </c>
      <c r="H10">
        <f>_xlfn.XLOOKUP(tblHoldings[[#This Row],[currency]], tblFX[from_ccy], tblFX[fx_to_chf])</f>
        <v>0.92</v>
      </c>
      <c r="I10">
        <f>tblHoldings[[#This Row],[market_value_local]]*tblHoldings[[#This Row],[fx_to_chf]]</f>
        <v>192492.0232</v>
      </c>
    </row>
    <row r="11" spans="1:9" x14ac:dyDescent="0.2">
      <c r="A11" s="1">
        <v>46032</v>
      </c>
      <c r="B11" t="s">
        <v>13</v>
      </c>
      <c r="C11" t="s">
        <v>44</v>
      </c>
      <c r="D11">
        <v>426857.1</v>
      </c>
      <c r="E11">
        <v>1</v>
      </c>
      <c r="F11">
        <v>426857.1</v>
      </c>
      <c r="G11" t="s">
        <v>10</v>
      </c>
      <c r="H11">
        <f>_xlfn.XLOOKUP(tblHoldings[[#This Row],[currency]], tblFX[from_ccy], tblFX[fx_to_chf])</f>
        <v>1</v>
      </c>
      <c r="I11">
        <f>tblHoldings[[#This Row],[market_value_local]]*tblHoldings[[#This Row],[fx_to_chf]]</f>
        <v>426857.1</v>
      </c>
    </row>
    <row r="12" spans="1:9" x14ac:dyDescent="0.2">
      <c r="A12" s="1">
        <v>46032</v>
      </c>
      <c r="B12" t="s">
        <v>13</v>
      </c>
      <c r="C12" t="s">
        <v>40</v>
      </c>
      <c r="D12">
        <v>1568.4540999999999</v>
      </c>
      <c r="E12">
        <v>186.6157</v>
      </c>
      <c r="F12">
        <v>292698.15999999997</v>
      </c>
      <c r="G12" t="s">
        <v>71</v>
      </c>
      <c r="H12">
        <f>_xlfn.XLOOKUP(tblHoldings[[#This Row],[currency]], tblFX[from_ccy], tblFX[fx_to_chf])</f>
        <v>0.92</v>
      </c>
      <c r="I12">
        <f>tblHoldings[[#This Row],[market_value_local]]*tblHoldings[[#This Row],[fx_to_chf]]</f>
        <v>269282.30719999998</v>
      </c>
    </row>
    <row r="13" spans="1:9" x14ac:dyDescent="0.2">
      <c r="A13" s="1">
        <v>46032</v>
      </c>
      <c r="B13" t="s">
        <v>13</v>
      </c>
      <c r="C13" t="s">
        <v>41</v>
      </c>
      <c r="D13">
        <v>7443.3963999999996</v>
      </c>
      <c r="E13">
        <v>143.9811</v>
      </c>
      <c r="F13">
        <v>1071708.29</v>
      </c>
      <c r="G13" t="s">
        <v>71</v>
      </c>
      <c r="H13">
        <f>_xlfn.XLOOKUP(tblHoldings[[#This Row],[currency]], tblFX[from_ccy], tblFX[fx_to_chf])</f>
        <v>0.92</v>
      </c>
      <c r="I13">
        <f>tblHoldings[[#This Row],[market_value_local]]*tblHoldings[[#This Row],[fx_to_chf]]</f>
        <v>985971.62680000009</v>
      </c>
    </row>
    <row r="14" spans="1:9" x14ac:dyDescent="0.2">
      <c r="A14" s="1">
        <v>46032</v>
      </c>
      <c r="B14" t="s">
        <v>13</v>
      </c>
      <c r="C14" t="s">
        <v>32</v>
      </c>
      <c r="D14">
        <v>1630.7638999999999</v>
      </c>
      <c r="E14">
        <v>313.47309999999999</v>
      </c>
      <c r="F14">
        <v>511200.57</v>
      </c>
      <c r="G14" t="s">
        <v>71</v>
      </c>
      <c r="H14">
        <f>_xlfn.XLOOKUP(tblHoldings[[#This Row],[currency]], tblFX[from_ccy], tblFX[fx_to_chf])</f>
        <v>0.92</v>
      </c>
      <c r="I14">
        <f>tblHoldings[[#This Row],[market_value_local]]*tblHoldings[[#This Row],[fx_to_chf]]</f>
        <v>470304.52440000005</v>
      </c>
    </row>
    <row r="15" spans="1:9" x14ac:dyDescent="0.2">
      <c r="A15" s="1">
        <v>46032</v>
      </c>
      <c r="B15" t="s">
        <v>13</v>
      </c>
      <c r="C15" t="s">
        <v>38</v>
      </c>
      <c r="D15">
        <v>18840.634300000002</v>
      </c>
      <c r="E15">
        <v>80.093599999999995</v>
      </c>
      <c r="F15">
        <v>1509013.62</v>
      </c>
      <c r="G15" t="s">
        <v>19</v>
      </c>
      <c r="H15">
        <f>_xlfn.XLOOKUP(tblHoldings[[#This Row],[currency]], tblFX[from_ccy], tblFX[fx_to_chf])</f>
        <v>1.03</v>
      </c>
      <c r="I15">
        <f>tblHoldings[[#This Row],[market_value_local]]*tblHoldings[[#This Row],[fx_to_chf]]</f>
        <v>1554284.0286000001</v>
      </c>
    </row>
    <row r="16" spans="1:9" x14ac:dyDescent="0.2">
      <c r="A16" s="1">
        <v>46032</v>
      </c>
      <c r="B16" t="s">
        <v>13</v>
      </c>
      <c r="C16" t="s">
        <v>31</v>
      </c>
      <c r="D16">
        <v>9294.5254999999997</v>
      </c>
      <c r="E16">
        <v>105.9605</v>
      </c>
      <c r="F16">
        <v>984852.82</v>
      </c>
      <c r="G16" t="s">
        <v>71</v>
      </c>
      <c r="H16">
        <f>_xlfn.XLOOKUP(tblHoldings[[#This Row],[currency]], tblFX[from_ccy], tblFX[fx_to_chf])</f>
        <v>0.92</v>
      </c>
      <c r="I16">
        <f>tblHoldings[[#This Row],[market_value_local]]*tblHoldings[[#This Row],[fx_to_chf]]</f>
        <v>906064.59439999994</v>
      </c>
    </row>
    <row r="17" spans="1:9" x14ac:dyDescent="0.2">
      <c r="A17" s="1">
        <v>46032</v>
      </c>
      <c r="B17" t="s">
        <v>13</v>
      </c>
      <c r="C17" t="s">
        <v>33</v>
      </c>
      <c r="D17">
        <v>80978.417000000001</v>
      </c>
      <c r="E17">
        <v>23.165800000000001</v>
      </c>
      <c r="F17">
        <v>1875927.87</v>
      </c>
      <c r="G17" t="s">
        <v>10</v>
      </c>
      <c r="H17">
        <f>_xlfn.XLOOKUP(tblHoldings[[#This Row],[currency]], tblFX[from_ccy], tblFX[fx_to_chf])</f>
        <v>1</v>
      </c>
      <c r="I17">
        <f>tblHoldings[[#This Row],[market_value_local]]*tblHoldings[[#This Row],[fx_to_chf]]</f>
        <v>1875927.87</v>
      </c>
    </row>
    <row r="18" spans="1:9" x14ac:dyDescent="0.2">
      <c r="A18" s="1">
        <v>46032</v>
      </c>
      <c r="B18" t="s">
        <v>13</v>
      </c>
      <c r="C18" t="s">
        <v>30</v>
      </c>
      <c r="D18">
        <v>4402.1081999999997</v>
      </c>
      <c r="E18">
        <v>358.3775</v>
      </c>
      <c r="F18">
        <v>1577616.45</v>
      </c>
      <c r="G18" t="s">
        <v>10</v>
      </c>
      <c r="H18">
        <f>_xlfn.XLOOKUP(tblHoldings[[#This Row],[currency]], tblFX[from_ccy], tblFX[fx_to_chf])</f>
        <v>1</v>
      </c>
      <c r="I18">
        <f>tblHoldings[[#This Row],[market_value_local]]*tblHoldings[[#This Row],[fx_to_chf]]</f>
        <v>1577616.45</v>
      </c>
    </row>
    <row r="19" spans="1:9" x14ac:dyDescent="0.2">
      <c r="A19" s="1">
        <v>46032</v>
      </c>
      <c r="B19" t="s">
        <v>13</v>
      </c>
      <c r="C19" t="s">
        <v>42</v>
      </c>
      <c r="D19">
        <v>2300.6161999999999</v>
      </c>
      <c r="E19">
        <v>305.88589999999999</v>
      </c>
      <c r="F19">
        <v>703725.99</v>
      </c>
      <c r="G19" t="s">
        <v>71</v>
      </c>
      <c r="H19">
        <f>_xlfn.XLOOKUP(tblHoldings[[#This Row],[currency]], tblFX[from_ccy], tblFX[fx_to_chf])</f>
        <v>0.92</v>
      </c>
      <c r="I19">
        <f>tblHoldings[[#This Row],[market_value_local]]*tblHoldings[[#This Row],[fx_to_chf]]</f>
        <v>647427.91080000007</v>
      </c>
    </row>
    <row r="20" spans="1:9" x14ac:dyDescent="0.2">
      <c r="A20" s="1">
        <v>46032</v>
      </c>
      <c r="B20" t="s">
        <v>13</v>
      </c>
      <c r="C20" t="s">
        <v>34</v>
      </c>
      <c r="D20">
        <v>5800.9368999999997</v>
      </c>
      <c r="E20">
        <v>323.22109999999998</v>
      </c>
      <c r="F20">
        <v>1874985.27</v>
      </c>
      <c r="G20" t="s">
        <v>10</v>
      </c>
      <c r="H20">
        <f>_xlfn.XLOOKUP(tblHoldings[[#This Row],[currency]], tblFX[from_ccy], tblFX[fx_to_chf])</f>
        <v>1</v>
      </c>
      <c r="I20">
        <f>tblHoldings[[#This Row],[market_value_local]]*tblHoldings[[#This Row],[fx_to_chf]]</f>
        <v>1874985.27</v>
      </c>
    </row>
    <row r="21" spans="1:9" x14ac:dyDescent="0.2">
      <c r="A21" s="1">
        <v>46032</v>
      </c>
      <c r="B21" t="s">
        <v>17</v>
      </c>
      <c r="C21" t="s">
        <v>45</v>
      </c>
      <c r="D21">
        <v>878523.59</v>
      </c>
      <c r="E21">
        <v>1</v>
      </c>
      <c r="F21">
        <v>878523.59</v>
      </c>
      <c r="G21" t="s">
        <v>19</v>
      </c>
      <c r="H21">
        <f>_xlfn.XLOOKUP(tblHoldings[[#This Row],[currency]], tblFX[from_ccy], tblFX[fx_to_chf])</f>
        <v>1.03</v>
      </c>
      <c r="I21">
        <f>tblHoldings[[#This Row],[market_value_local]]*tblHoldings[[#This Row],[fx_to_chf]]</f>
        <v>904879.2977</v>
      </c>
    </row>
    <row r="22" spans="1:9" x14ac:dyDescent="0.2">
      <c r="A22" s="1">
        <v>46032</v>
      </c>
      <c r="B22" t="s">
        <v>17</v>
      </c>
      <c r="C22" t="s">
        <v>33</v>
      </c>
      <c r="D22">
        <v>6044.3284000000003</v>
      </c>
      <c r="E22">
        <v>120.59399999999999</v>
      </c>
      <c r="F22">
        <v>728909.61</v>
      </c>
      <c r="G22" t="s">
        <v>10</v>
      </c>
      <c r="H22">
        <f>_xlfn.XLOOKUP(tblHoldings[[#This Row],[currency]], tblFX[from_ccy], tblFX[fx_to_chf])</f>
        <v>1</v>
      </c>
      <c r="I22">
        <f>tblHoldings[[#This Row],[market_value_local]]*tblHoldings[[#This Row],[fx_to_chf]]</f>
        <v>728909.61</v>
      </c>
    </row>
    <row r="23" spans="1:9" x14ac:dyDescent="0.2">
      <c r="A23" s="1">
        <v>46032</v>
      </c>
      <c r="B23" t="s">
        <v>17</v>
      </c>
      <c r="C23" t="s">
        <v>30</v>
      </c>
      <c r="D23">
        <v>14105.330900000001</v>
      </c>
      <c r="E23">
        <v>45.0702</v>
      </c>
      <c r="F23">
        <v>635729.79</v>
      </c>
      <c r="G23" t="s">
        <v>10</v>
      </c>
      <c r="H23">
        <f>_xlfn.XLOOKUP(tblHoldings[[#This Row],[currency]], tblFX[from_ccy], tblFX[fx_to_chf])</f>
        <v>1</v>
      </c>
      <c r="I23">
        <f>tblHoldings[[#This Row],[market_value_local]]*tblHoldings[[#This Row],[fx_to_chf]]</f>
        <v>635729.79</v>
      </c>
    </row>
    <row r="24" spans="1:9" x14ac:dyDescent="0.2">
      <c r="A24" s="1">
        <v>46032</v>
      </c>
      <c r="B24" t="s">
        <v>17</v>
      </c>
      <c r="C24" t="s">
        <v>38</v>
      </c>
      <c r="D24">
        <v>4554.7173000000003</v>
      </c>
      <c r="E24">
        <v>140.99510000000001</v>
      </c>
      <c r="F24">
        <v>642192.69999999995</v>
      </c>
      <c r="G24" t="s">
        <v>19</v>
      </c>
      <c r="H24">
        <f>_xlfn.XLOOKUP(tblHoldings[[#This Row],[currency]], tblFX[from_ccy], tblFX[fx_to_chf])</f>
        <v>1.03</v>
      </c>
      <c r="I24">
        <f>tblHoldings[[#This Row],[market_value_local]]*tblHoldings[[#This Row],[fx_to_chf]]</f>
        <v>661458.48099999991</v>
      </c>
    </row>
    <row r="25" spans="1:9" x14ac:dyDescent="0.2">
      <c r="A25" s="1">
        <v>46032</v>
      </c>
      <c r="B25" t="s">
        <v>17</v>
      </c>
      <c r="C25" t="s">
        <v>34</v>
      </c>
      <c r="D25">
        <v>2386.7831999999999</v>
      </c>
      <c r="E25">
        <v>146.24529999999999</v>
      </c>
      <c r="F25">
        <v>349055.86</v>
      </c>
      <c r="G25" t="s">
        <v>10</v>
      </c>
      <c r="H25">
        <f>_xlfn.XLOOKUP(tblHoldings[[#This Row],[currency]], tblFX[from_ccy], tblFX[fx_to_chf])</f>
        <v>1</v>
      </c>
      <c r="I25">
        <f>tblHoldings[[#This Row],[market_value_local]]*tblHoldings[[#This Row],[fx_to_chf]]</f>
        <v>349055.86</v>
      </c>
    </row>
    <row r="26" spans="1:9" x14ac:dyDescent="0.2">
      <c r="A26" s="1">
        <v>46032</v>
      </c>
      <c r="B26" t="s">
        <v>17</v>
      </c>
      <c r="C26" t="s">
        <v>31</v>
      </c>
      <c r="D26">
        <v>116.1798</v>
      </c>
      <c r="E26">
        <v>304.6241</v>
      </c>
      <c r="F26">
        <v>35391.160000000003</v>
      </c>
      <c r="G26" t="s">
        <v>71</v>
      </c>
      <c r="H26">
        <f>_xlfn.XLOOKUP(tblHoldings[[#This Row],[currency]], tblFX[from_ccy], tblFX[fx_to_chf])</f>
        <v>0.92</v>
      </c>
      <c r="I26">
        <f>tblHoldings[[#This Row],[market_value_local]]*tblHoldings[[#This Row],[fx_to_chf]]</f>
        <v>32559.867200000004</v>
      </c>
    </row>
    <row r="27" spans="1:9" x14ac:dyDescent="0.2">
      <c r="A27" s="1">
        <v>46032</v>
      </c>
      <c r="B27" t="s">
        <v>17</v>
      </c>
      <c r="C27" t="s">
        <v>36</v>
      </c>
      <c r="D27">
        <v>1932.4838999999999</v>
      </c>
      <c r="E27">
        <v>259.52379999999999</v>
      </c>
      <c r="F27">
        <v>501525.62</v>
      </c>
      <c r="G27" t="s">
        <v>71</v>
      </c>
      <c r="H27">
        <f>_xlfn.XLOOKUP(tblHoldings[[#This Row],[currency]], tblFX[from_ccy], tblFX[fx_to_chf])</f>
        <v>0.92</v>
      </c>
      <c r="I27">
        <f>tblHoldings[[#This Row],[market_value_local]]*tblHoldings[[#This Row],[fx_to_chf]]</f>
        <v>461403.57040000003</v>
      </c>
    </row>
    <row r="28" spans="1:9" x14ac:dyDescent="0.2">
      <c r="A28" s="1">
        <v>46032</v>
      </c>
      <c r="B28" t="s">
        <v>17</v>
      </c>
      <c r="C28" t="s">
        <v>39</v>
      </c>
      <c r="D28">
        <v>690.12919999999997</v>
      </c>
      <c r="E28">
        <v>357.07619999999997</v>
      </c>
      <c r="F28">
        <v>246428.73</v>
      </c>
      <c r="G28" t="s">
        <v>71</v>
      </c>
      <c r="H28">
        <f>_xlfn.XLOOKUP(tblHoldings[[#This Row],[currency]], tblFX[from_ccy], tblFX[fx_to_chf])</f>
        <v>0.92</v>
      </c>
      <c r="I28">
        <f>tblHoldings[[#This Row],[market_value_local]]*tblHoldings[[#This Row],[fx_to_chf]]</f>
        <v>226714.43160000001</v>
      </c>
    </row>
    <row r="29" spans="1:9" x14ac:dyDescent="0.2">
      <c r="A29" s="1">
        <v>46032</v>
      </c>
      <c r="B29" t="s">
        <v>17</v>
      </c>
      <c r="C29" t="s">
        <v>35</v>
      </c>
      <c r="D29">
        <v>1534.9135000000001</v>
      </c>
      <c r="E29">
        <v>305.65480000000002</v>
      </c>
      <c r="F29">
        <v>469153.71</v>
      </c>
      <c r="G29" t="s">
        <v>71</v>
      </c>
      <c r="H29">
        <f>_xlfn.XLOOKUP(tblHoldings[[#This Row],[currency]], tblFX[from_ccy], tblFX[fx_to_chf])</f>
        <v>0.92</v>
      </c>
      <c r="I29">
        <f>tblHoldings[[#This Row],[market_value_local]]*tblHoldings[[#This Row],[fx_to_chf]]</f>
        <v>431621.41320000001</v>
      </c>
    </row>
    <row r="30" spans="1:9" x14ac:dyDescent="0.2">
      <c r="A30" s="1">
        <v>46032</v>
      </c>
      <c r="B30" t="s">
        <v>21</v>
      </c>
      <c r="C30" t="s">
        <v>44</v>
      </c>
      <c r="D30">
        <v>41151.53</v>
      </c>
      <c r="E30">
        <v>1</v>
      </c>
      <c r="F30">
        <v>41151.53</v>
      </c>
      <c r="G30" t="s">
        <v>10</v>
      </c>
      <c r="H30">
        <f>_xlfn.XLOOKUP(tblHoldings[[#This Row],[currency]], tblFX[from_ccy], tblFX[fx_to_chf])</f>
        <v>1</v>
      </c>
      <c r="I30">
        <f>tblHoldings[[#This Row],[market_value_local]]*tblHoldings[[#This Row],[fx_to_chf]]</f>
        <v>41151.53</v>
      </c>
    </row>
    <row r="31" spans="1:9" x14ac:dyDescent="0.2">
      <c r="A31" s="1">
        <v>46032</v>
      </c>
      <c r="B31" t="s">
        <v>21</v>
      </c>
      <c r="C31" t="s">
        <v>43</v>
      </c>
      <c r="D31">
        <v>586.30830000000003</v>
      </c>
      <c r="E31">
        <v>320.8741</v>
      </c>
      <c r="F31">
        <v>188131.14</v>
      </c>
      <c r="G31" t="s">
        <v>10</v>
      </c>
      <c r="H31">
        <f>_xlfn.XLOOKUP(tblHoldings[[#This Row],[currency]], tblFX[from_ccy], tblFX[fx_to_chf])</f>
        <v>1</v>
      </c>
      <c r="I31">
        <f>tblHoldings[[#This Row],[market_value_local]]*tblHoldings[[#This Row],[fx_to_chf]]</f>
        <v>188131.14</v>
      </c>
    </row>
    <row r="32" spans="1:9" x14ac:dyDescent="0.2">
      <c r="A32" s="1">
        <v>46032</v>
      </c>
      <c r="B32" t="s">
        <v>21</v>
      </c>
      <c r="C32" t="s">
        <v>36</v>
      </c>
      <c r="D32">
        <v>897.3972</v>
      </c>
      <c r="E32">
        <v>134.32409999999999</v>
      </c>
      <c r="F32">
        <v>120542.06</v>
      </c>
      <c r="G32" t="s">
        <v>71</v>
      </c>
      <c r="H32">
        <f>_xlfn.XLOOKUP(tblHoldings[[#This Row],[currency]], tblFX[from_ccy], tblFX[fx_to_chf])</f>
        <v>0.92</v>
      </c>
      <c r="I32">
        <f>tblHoldings[[#This Row],[market_value_local]]*tblHoldings[[#This Row],[fx_to_chf]]</f>
        <v>110898.6952</v>
      </c>
    </row>
    <row r="33" spans="1:9" x14ac:dyDescent="0.2">
      <c r="A33" s="1">
        <v>46032</v>
      </c>
      <c r="B33" t="s">
        <v>21</v>
      </c>
      <c r="C33" t="s">
        <v>42</v>
      </c>
      <c r="D33">
        <v>235.70670000000001</v>
      </c>
      <c r="E33">
        <v>436.74579999999997</v>
      </c>
      <c r="F33">
        <v>102943.93</v>
      </c>
      <c r="G33" t="s">
        <v>71</v>
      </c>
      <c r="H33">
        <f>_xlfn.XLOOKUP(tblHoldings[[#This Row],[currency]], tblFX[from_ccy], tblFX[fx_to_chf])</f>
        <v>0.92</v>
      </c>
      <c r="I33">
        <f>tblHoldings[[#This Row],[market_value_local]]*tblHoldings[[#This Row],[fx_to_chf]]</f>
        <v>94708.415599999993</v>
      </c>
    </row>
    <row r="34" spans="1:9" x14ac:dyDescent="0.2">
      <c r="A34" s="1">
        <v>46032</v>
      </c>
      <c r="B34" t="s">
        <v>21</v>
      </c>
      <c r="C34" t="s">
        <v>32</v>
      </c>
      <c r="D34">
        <v>229.55969999999999</v>
      </c>
      <c r="E34">
        <v>354.86290000000002</v>
      </c>
      <c r="F34">
        <v>81462.23</v>
      </c>
      <c r="G34" t="s">
        <v>71</v>
      </c>
      <c r="H34">
        <f>_xlfn.XLOOKUP(tblHoldings[[#This Row],[currency]], tblFX[from_ccy], tblFX[fx_to_chf])</f>
        <v>0.92</v>
      </c>
      <c r="I34">
        <f>tblHoldings[[#This Row],[market_value_local]]*tblHoldings[[#This Row],[fx_to_chf]]</f>
        <v>74945.251600000003</v>
      </c>
    </row>
    <row r="35" spans="1:9" x14ac:dyDescent="0.2">
      <c r="A35" s="1">
        <v>46032</v>
      </c>
      <c r="B35" t="s">
        <v>21</v>
      </c>
      <c r="C35" t="s">
        <v>38</v>
      </c>
      <c r="D35">
        <v>518.75850000000003</v>
      </c>
      <c r="E35">
        <v>328.26280000000003</v>
      </c>
      <c r="F35">
        <v>170289.12</v>
      </c>
      <c r="G35" t="s">
        <v>19</v>
      </c>
      <c r="H35">
        <f>_xlfn.XLOOKUP(tblHoldings[[#This Row],[currency]], tblFX[from_ccy], tblFX[fx_to_chf])</f>
        <v>1.03</v>
      </c>
      <c r="I35">
        <f>tblHoldings[[#This Row],[market_value_local]]*tblHoldings[[#This Row],[fx_to_chf]]</f>
        <v>175397.7936</v>
      </c>
    </row>
    <row r="36" spans="1:9" x14ac:dyDescent="0.2">
      <c r="A36" s="1">
        <v>46032</v>
      </c>
      <c r="B36" t="s">
        <v>21</v>
      </c>
      <c r="C36" t="s">
        <v>37</v>
      </c>
      <c r="D36">
        <v>98552.66</v>
      </c>
      <c r="E36">
        <v>99.189800000000005</v>
      </c>
      <c r="F36">
        <v>97754.17</v>
      </c>
      <c r="G36" t="s">
        <v>10</v>
      </c>
      <c r="H36">
        <f>_xlfn.XLOOKUP(tblHoldings[[#This Row],[currency]], tblFX[from_ccy], tblFX[fx_to_chf])</f>
        <v>1</v>
      </c>
      <c r="I36">
        <f>tblHoldings[[#This Row],[market_value_local]]*tblHoldings[[#This Row],[fx_to_chf]]</f>
        <v>97754.17</v>
      </c>
    </row>
    <row r="37" spans="1:9" x14ac:dyDescent="0.2">
      <c r="A37" s="1">
        <v>46032</v>
      </c>
      <c r="B37" t="s">
        <v>21</v>
      </c>
      <c r="C37" t="s">
        <v>31</v>
      </c>
      <c r="D37">
        <v>172.7747</v>
      </c>
      <c r="E37">
        <v>137.06389999999999</v>
      </c>
      <c r="F37">
        <v>23681.17</v>
      </c>
      <c r="G37" t="s">
        <v>71</v>
      </c>
      <c r="H37">
        <f>_xlfn.XLOOKUP(tblHoldings[[#This Row],[currency]], tblFX[from_ccy], tblFX[fx_to_chf])</f>
        <v>0.92</v>
      </c>
      <c r="I37">
        <f>tblHoldings[[#This Row],[market_value_local]]*tblHoldings[[#This Row],[fx_to_chf]]</f>
        <v>21786.6764</v>
      </c>
    </row>
    <row r="38" spans="1:9" x14ac:dyDescent="0.2">
      <c r="A38" s="1">
        <v>46032</v>
      </c>
      <c r="B38" t="s">
        <v>21</v>
      </c>
      <c r="C38" t="s">
        <v>33</v>
      </c>
      <c r="D38">
        <v>518.85590000000002</v>
      </c>
      <c r="E38">
        <v>61.448099999999997</v>
      </c>
      <c r="F38">
        <v>31882.720000000001</v>
      </c>
      <c r="G38" t="s">
        <v>10</v>
      </c>
      <c r="H38">
        <f>_xlfn.XLOOKUP(tblHoldings[[#This Row],[currency]], tblFX[from_ccy], tblFX[fx_to_chf])</f>
        <v>1</v>
      </c>
      <c r="I38">
        <f>tblHoldings[[#This Row],[market_value_local]]*tblHoldings[[#This Row],[fx_to_chf]]</f>
        <v>31882.720000000001</v>
      </c>
    </row>
    <row r="39" spans="1:9" x14ac:dyDescent="0.2">
      <c r="A39" s="1">
        <v>46032</v>
      </c>
      <c r="B39" t="s">
        <v>21</v>
      </c>
      <c r="C39" t="s">
        <v>30</v>
      </c>
      <c r="D39">
        <v>636.78620000000001</v>
      </c>
      <c r="E39">
        <v>408.11900000000003</v>
      </c>
      <c r="F39">
        <v>259884.55</v>
      </c>
      <c r="G39" t="s">
        <v>10</v>
      </c>
      <c r="H39">
        <f>_xlfn.XLOOKUP(tblHoldings[[#This Row],[currency]], tblFX[from_ccy], tblFX[fx_to_chf])</f>
        <v>1</v>
      </c>
      <c r="I39">
        <f>tblHoldings[[#This Row],[market_value_local]]*tblHoldings[[#This Row],[fx_to_chf]]</f>
        <v>259884.55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3F62F-821E-CC4C-9271-80CB386E89A0}">
  <sheetPr codeName="Sheet6"/>
  <dimension ref="A1:D4"/>
  <sheetViews>
    <sheetView workbookViewId="0">
      <selection activeCell="E21" sqref="E21"/>
    </sheetView>
  </sheetViews>
  <sheetFormatPr baseColWidth="10" defaultRowHeight="16" x14ac:dyDescent="0.2"/>
  <cols>
    <col min="2" max="2" width="11.1640625" customWidth="1"/>
    <col min="4" max="4" width="11" customWidth="1"/>
  </cols>
  <sheetData>
    <row r="1" spans="1:4" x14ac:dyDescent="0.2">
      <c r="A1" t="s">
        <v>110</v>
      </c>
      <c r="B1" t="s">
        <v>111</v>
      </c>
      <c r="C1" t="s">
        <v>112</v>
      </c>
      <c r="D1" t="s">
        <v>113</v>
      </c>
    </row>
    <row r="2" spans="1:4" x14ac:dyDescent="0.2">
      <c r="A2" s="1">
        <v>46032</v>
      </c>
      <c r="B2" t="s">
        <v>10</v>
      </c>
      <c r="C2" t="s">
        <v>10</v>
      </c>
      <c r="D2">
        <v>1</v>
      </c>
    </row>
    <row r="3" spans="1:4" x14ac:dyDescent="0.2">
      <c r="A3" s="1">
        <v>46032</v>
      </c>
      <c r="B3" t="s">
        <v>19</v>
      </c>
      <c r="C3" t="s">
        <v>10</v>
      </c>
      <c r="D3">
        <v>1.03</v>
      </c>
    </row>
    <row r="4" spans="1:4" x14ac:dyDescent="0.2">
      <c r="A4" s="1">
        <v>46032</v>
      </c>
      <c r="B4" t="s">
        <v>71</v>
      </c>
      <c r="C4" t="s">
        <v>10</v>
      </c>
      <c r="D4">
        <v>0.92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3D912-19A9-C542-B390-35848D758668}">
  <sheetPr codeName="Sheet7"/>
  <dimension ref="A1:D5"/>
  <sheetViews>
    <sheetView showWhiteSpace="0" view="pageLayout" zoomScaleNormal="100" workbookViewId="0">
      <selection activeCell="L10" sqref="L10"/>
    </sheetView>
  </sheetViews>
  <sheetFormatPr baseColWidth="10" defaultRowHeight="16" x14ac:dyDescent="0.2"/>
  <cols>
    <col min="1" max="1" width="12.83203125" customWidth="1"/>
    <col min="2" max="2" width="27.1640625" customWidth="1"/>
    <col min="3" max="3" width="27" customWidth="1"/>
    <col min="4" max="4" width="19.83203125" customWidth="1"/>
  </cols>
  <sheetData>
    <row r="1" spans="1:4" x14ac:dyDescent="0.2">
      <c r="A1" t="s">
        <v>4</v>
      </c>
      <c r="B1" s="8" t="s">
        <v>114</v>
      </c>
      <c r="C1" t="s">
        <v>115</v>
      </c>
      <c r="D1" t="s">
        <v>116</v>
      </c>
    </row>
    <row r="2" spans="1:4" x14ac:dyDescent="0.2">
      <c r="A2" t="s">
        <v>24</v>
      </c>
      <c r="B2" t="s">
        <v>117</v>
      </c>
      <c r="C2">
        <v>4.0000000000000001E-3</v>
      </c>
      <c r="D2">
        <v>0.01</v>
      </c>
    </row>
    <row r="3" spans="1:4" x14ac:dyDescent="0.2">
      <c r="A3" t="s">
        <v>16</v>
      </c>
      <c r="B3" t="s">
        <v>118</v>
      </c>
      <c r="C3">
        <v>6.0000000000000001E-3</v>
      </c>
      <c r="D3">
        <v>1.4E-2</v>
      </c>
    </row>
    <row r="4" spans="1:4" x14ac:dyDescent="0.2">
      <c r="A4" t="s">
        <v>11</v>
      </c>
      <c r="B4" t="s">
        <v>119</v>
      </c>
      <c r="C4">
        <v>8.0000000000000002E-3</v>
      </c>
      <c r="D4">
        <v>1.7999999999999999E-2</v>
      </c>
    </row>
    <row r="5" spans="1:4" x14ac:dyDescent="0.2">
      <c r="A5" t="s">
        <v>20</v>
      </c>
      <c r="B5" t="s">
        <v>120</v>
      </c>
      <c r="C5">
        <v>1.0999999999999999E-2</v>
      </c>
      <c r="D5">
        <v>2.5000000000000001E-2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AFFAA-015C-0740-93B0-B2264012194F}">
  <sheetPr codeName="Sheet8"/>
  <dimension ref="A1:K22"/>
  <sheetViews>
    <sheetView tabSelected="1" zoomScaleNormal="75" workbookViewId="0">
      <selection activeCell="J24" sqref="J24"/>
    </sheetView>
  </sheetViews>
  <sheetFormatPr baseColWidth="10" defaultRowHeight="16" x14ac:dyDescent="0.2"/>
  <cols>
    <col min="1" max="1" width="22.6640625" style="2" customWidth="1"/>
    <col min="2" max="2" width="15.6640625" style="2" customWidth="1"/>
    <col min="3" max="3" width="15" style="2" customWidth="1"/>
    <col min="4" max="4" width="13.83203125" style="2" customWidth="1"/>
    <col min="5" max="5" width="12" style="2" customWidth="1"/>
    <col min="6" max="6" width="11.5" style="2" customWidth="1"/>
    <col min="7" max="7" width="10" style="2" customWidth="1"/>
    <col min="8" max="8" width="15.33203125" style="2" customWidth="1"/>
    <col min="9" max="9" width="14.6640625" style="2" customWidth="1"/>
    <col min="10" max="10" width="13.5" customWidth="1"/>
    <col min="11" max="11" width="17.6640625" bestFit="1" customWidth="1"/>
  </cols>
  <sheetData>
    <row r="1" spans="2:11" x14ac:dyDescent="0.2">
      <c r="C1" s="6" t="s">
        <v>127</v>
      </c>
      <c r="D1" s="6" t="s">
        <v>121</v>
      </c>
      <c r="E1" s="6" t="s">
        <v>122</v>
      </c>
      <c r="F1" s="6" t="s">
        <v>123</v>
      </c>
      <c r="G1" s="6" t="s">
        <v>126</v>
      </c>
      <c r="H1" s="6" t="s">
        <v>124</v>
      </c>
      <c r="J1" s="2"/>
      <c r="K1" s="2"/>
    </row>
    <row r="2" spans="2:11" x14ac:dyDescent="0.2">
      <c r="C2" s="2" t="s">
        <v>7</v>
      </c>
      <c r="D2" s="2" t="str">
        <f>_xlfn.XLOOKUP(C2, tblClients[client_id], tblClients[segment])</f>
        <v>HNW</v>
      </c>
      <c r="E2" s="2" t="str">
        <f>_xlfn.XLOOKUP(C2, tblClients[client_id], tblClients[risk_profile])</f>
        <v>Balanced</v>
      </c>
      <c r="F2" s="2" t="str">
        <f>_xlfn.XLOOKUP(C2, tblClients[client_id], tblClients[mandate])</f>
        <v>Advisory</v>
      </c>
      <c r="G2" s="2">
        <f xml:space="preserve"> SUMIFS( tblHoldings[market_value_chf],tblHoldings[client_id],C2)</f>
        <v>1635379.736</v>
      </c>
      <c r="H2" s="2" t="str">
        <f>_xlfn.XLOOKUP(C2, tblClients[client_id], tblClients[base_ccy])</f>
        <v>CHF</v>
      </c>
      <c r="J2" s="2"/>
      <c r="K2" s="7">
        <v>46036.391053240739</v>
      </c>
    </row>
    <row r="3" spans="2:11" ht="18" x14ac:dyDescent="0.2">
      <c r="B3" s="4"/>
      <c r="J3" s="2"/>
      <c r="K3" s="2"/>
    </row>
    <row r="7" spans="2:11" x14ac:dyDescent="0.2">
      <c r="C7" s="2" t="s">
        <v>128</v>
      </c>
      <c r="D7" s="2" t="s">
        <v>129</v>
      </c>
    </row>
    <row r="8" spans="2:11" x14ac:dyDescent="0.2">
      <c r="C8" s="2" t="s">
        <v>64</v>
      </c>
      <c r="D8" s="2" cm="1">
        <f t="array" ref="D8">SUMPRODUCT((tblHoldings[client_id]=$C$2) *(_xlfn.XLOOKUP(tblHoldings[security_id],tblUniverse[security_id],tblUniverse[asset_class])="Equity") *tblHoldings[market_value_chf])/$G$2</f>
        <v>0.5736274418408227</v>
      </c>
    </row>
    <row r="9" spans="2:11" x14ac:dyDescent="0.2">
      <c r="C9" s="2" t="s">
        <v>82</v>
      </c>
      <c r="D9" s="2" cm="1">
        <f t="array" ref="D9">SUMPRODUCT((tblHoldings[client_id]=$C$2) *(_xlfn.XLOOKUP(tblHoldings[security_id],tblUniverse[security_id],tblUniverse[asset_class])="Fixed Income") *tblHoldings[market_value_chf])/$G$2</f>
        <v>0.22219487816865061</v>
      </c>
    </row>
    <row r="10" spans="2:11" x14ac:dyDescent="0.2">
      <c r="C10" s="2" t="s">
        <v>95</v>
      </c>
      <c r="D10" s="2" cm="1">
        <f t="array" ref="D10">SUMPRODUCT((tblHoldings[client_id]=$C$2) *(_xlfn.XLOOKUP(tblHoldings[security_id],tblUniverse[security_id],tblUniverse[asset_class])="Alternatives") *tblHoldings[market_value_chf])/$G$2</f>
        <v>0.17462249538354313</v>
      </c>
    </row>
    <row r="11" spans="2:11" x14ac:dyDescent="0.2">
      <c r="C11" s="2" t="s">
        <v>103</v>
      </c>
      <c r="D11" s="2" cm="1">
        <f t="array" ref="D11">SUMPRODUCT((tblHoldings[client_id]=$C$2) *(_xlfn.XLOOKUP(tblHoldings[security_id],tblUniverse[security_id],tblUniverse[asset_class])="Cash") *tblHoldings[market_value_chf])/$G$2</f>
        <v>2.9555184606983535E-2</v>
      </c>
    </row>
    <row r="18" spans="2:3" ht="33" customHeight="1" x14ac:dyDescent="0.2">
      <c r="B18" s="9" t="s">
        <v>132</v>
      </c>
    </row>
    <row r="19" spans="2:3" x14ac:dyDescent="0.2">
      <c r="B19" s="6" t="s">
        <v>131</v>
      </c>
    </row>
    <row r="20" spans="2:3" x14ac:dyDescent="0.2">
      <c r="B20" s="2" t="str">
        <f>INDEX(C8:C11, MATCH(MAX(D8:D11), D8:D11, 0))</f>
        <v>Equity</v>
      </c>
      <c r="C20" s="5">
        <f>MAX(D8:D11)</f>
        <v>0.5736274418408227</v>
      </c>
    </row>
    <row r="21" spans="2:3" x14ac:dyDescent="0.2">
      <c r="B21" s="6" t="s">
        <v>130</v>
      </c>
    </row>
    <row r="22" spans="2:3" x14ac:dyDescent="0.2">
      <c r="B22" s="2" t="str">
        <f>TEXT(G2, "CHF #'##0")</f>
        <v>CHF 1'635'380</v>
      </c>
    </row>
  </sheetData>
  <dataValidations disablePrompts="1" count="1">
    <dataValidation type="list" allowBlank="1" showInputMessage="1" showErrorMessage="1" sqref="C4" xr:uid="{83EDF411-AFD0-2C4A-B236-B584C75C1636}">
      <formula1>"tblClients[client_id]"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RefreshAndValidate">
                <anchor moveWithCells="1" sizeWithCells="1">
                  <from>
                    <xdr:col>0</xdr:col>
                    <xdr:colOff>254000</xdr:colOff>
                    <xdr:row>1</xdr:row>
                    <xdr:rowOff>190500</xdr:rowOff>
                  </from>
                  <to>
                    <xdr:col>0</xdr:col>
                    <xdr:colOff>1447800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GenerateMarketCommentary">
                <anchor moveWithCells="1" sizeWithCells="1">
                  <from>
                    <xdr:col>0</xdr:col>
                    <xdr:colOff>127000</xdr:colOff>
                    <xdr:row>5</xdr:row>
                    <xdr:rowOff>88900</xdr:rowOff>
                  </from>
                  <to>
                    <xdr:col>0</xdr:col>
                    <xdr:colOff>1651000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6DED0118-AEF5-3145-AA9F-8A8046920745}">
          <x14:formula1>
            <xm:f>Clients!$A$2:$A$5</xm:f>
          </x14:formula1>
          <xm:sqref>C2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B60A6-0F03-D149-87EB-9B3B08388FC0}">
  <sheetPr codeName="Sheet9"/>
  <dimension ref="A1:A30"/>
  <sheetViews>
    <sheetView workbookViewId="0">
      <selection activeCell="A5" sqref="A5"/>
    </sheetView>
  </sheetViews>
  <sheetFormatPr baseColWidth="10" defaultRowHeight="16" x14ac:dyDescent="0.2"/>
  <cols>
    <col min="1" max="1" width="115.83203125" style="10" customWidth="1"/>
  </cols>
  <sheetData>
    <row r="1" spans="1:1" s="12" customFormat="1" ht="18" customHeight="1" x14ac:dyDescent="0.2">
      <c r="A1" s="11" t="s">
        <v>133</v>
      </c>
    </row>
    <row r="2" spans="1:1" s="14" customFormat="1" ht="18" customHeight="1" x14ac:dyDescent="0.2">
      <c r="A2" s="13" t="s">
        <v>134</v>
      </c>
    </row>
    <row r="3" spans="1:1" ht="18" customHeight="1" x14ac:dyDescent="0.2"/>
    <row r="4" spans="1:1" ht="380" customHeight="1" x14ac:dyDescent="0.2">
      <c r="A4" s="3" t="s">
        <v>135</v>
      </c>
    </row>
    <row r="5" spans="1:1" ht="18" customHeight="1" x14ac:dyDescent="0.2"/>
    <row r="6" spans="1:1" ht="18" customHeight="1" x14ac:dyDescent="0.2"/>
    <row r="7" spans="1:1" ht="18" customHeight="1" x14ac:dyDescent="0.2"/>
    <row r="8" spans="1:1" ht="18" customHeight="1" x14ac:dyDescent="0.2"/>
    <row r="9" spans="1:1" ht="18" customHeight="1" x14ac:dyDescent="0.2"/>
    <row r="10" spans="1:1" ht="18" customHeight="1" x14ac:dyDescent="0.2"/>
    <row r="11" spans="1:1" ht="18" customHeight="1" x14ac:dyDescent="0.2"/>
    <row r="12" spans="1:1" ht="18" customHeight="1" x14ac:dyDescent="0.2"/>
    <row r="13" spans="1:1" ht="18" customHeight="1" x14ac:dyDescent="0.2"/>
    <row r="14" spans="1:1" ht="18" customHeight="1" x14ac:dyDescent="0.2"/>
    <row r="15" spans="1:1" ht="18" customHeight="1" x14ac:dyDescent="0.2"/>
    <row r="16" spans="1:1" ht="18" customHeight="1" x14ac:dyDescent="0.2"/>
    <row r="17" ht="18" customHeight="1" x14ac:dyDescent="0.2"/>
    <row r="18" ht="18" customHeight="1" x14ac:dyDescent="0.2"/>
    <row r="19" ht="18" customHeight="1" x14ac:dyDescent="0.2"/>
    <row r="20" ht="18" customHeight="1" x14ac:dyDescent="0.2"/>
    <row r="21" ht="18" customHeight="1" x14ac:dyDescent="0.2"/>
    <row r="22" ht="18" customHeight="1" x14ac:dyDescent="0.2"/>
    <row r="23" ht="18" customHeight="1" x14ac:dyDescent="0.2"/>
    <row r="24" ht="18" customHeight="1" x14ac:dyDescent="0.2"/>
    <row r="25" ht="18" customHeight="1" x14ac:dyDescent="0.2"/>
    <row r="26" ht="18" customHeight="1" x14ac:dyDescent="0.2"/>
    <row r="27" ht="18" customHeight="1" x14ac:dyDescent="0.2"/>
    <row r="28" ht="18" customHeight="1" x14ac:dyDescent="0.2"/>
    <row r="29" ht="18" customHeight="1" x14ac:dyDescent="0.2"/>
    <row r="30" ht="18" customHeight="1" x14ac:dyDescent="0.2"/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Clients</vt:lpstr>
      <vt:lpstr>Returns</vt:lpstr>
      <vt:lpstr>Market_Data</vt:lpstr>
      <vt:lpstr>Universe</vt:lpstr>
      <vt:lpstr>Holdings</vt:lpstr>
      <vt:lpstr>FX</vt:lpstr>
      <vt:lpstr>Benchmarks</vt:lpstr>
      <vt:lpstr>Portfolio_Summary</vt:lpstr>
      <vt:lpstr>Market_Commentary</vt:lpstr>
      <vt:lpstr>ClientsIDs</vt:lpstr>
      <vt:lpstr>Market_Commentary!Print_Area</vt:lpstr>
      <vt:lpstr>Portfolio_Summary!Print_Area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Cécilia Torres</dc:creator>
  <cp:lastModifiedBy>Cécilia Torres</cp:lastModifiedBy>
  <cp:lastPrinted>2026-01-14T08:49:11Z</cp:lastPrinted>
  <dcterms:created xsi:type="dcterms:W3CDTF">2026-01-10T11:00:01Z</dcterms:created>
  <dcterms:modified xsi:type="dcterms:W3CDTF">2026-01-14T09:11:45Z</dcterms:modified>
</cp:coreProperties>
</file>